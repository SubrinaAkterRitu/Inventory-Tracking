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oshiul Nishan\Downloads\"/>
    </mc:Choice>
  </mc:AlternateContent>
  <xr:revisionPtr revIDLastSave="0" documentId="13_ncr:1_{3F4962A6-4015-4001-851F-D3E0E1529D4E}" xr6:coauthVersionLast="47" xr6:coauthVersionMax="47" xr10:uidLastSave="{00000000-0000-0000-0000-000000000000}"/>
  <bookViews>
    <workbookView xWindow="-110" yWindow="-110" windowWidth="19420" windowHeight="10420" tabRatio="500" activeTab="3" xr2:uid="{00000000-000D-0000-FFFF-FFFF00000000}"/>
  </bookViews>
  <sheets>
    <sheet name="Reports" sheetId="4" r:id="rId1"/>
    <sheet name="Order" sheetId="5" r:id="rId2"/>
    <sheet name="Products" sheetId="1" r:id="rId3"/>
    <sheet name="Transactions" sheetId="2" r:id="rId4"/>
    <sheet name="Inventory" sheetId="3" r:id="rId5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" i="3" l="1"/>
  <c r="F7" i="5"/>
  <c r="F10" i="5"/>
  <c r="F14" i="5"/>
  <c r="F16" i="5"/>
  <c r="F18" i="5"/>
  <c r="F6" i="5"/>
  <c r="E7" i="5"/>
  <c r="E8" i="5"/>
  <c r="E10" i="5"/>
  <c r="E11" i="5"/>
  <c r="E17" i="5"/>
  <c r="E19" i="5"/>
  <c r="E6" i="5"/>
  <c r="D6" i="5"/>
  <c r="J4" i="3"/>
  <c r="J5" i="3"/>
  <c r="J6" i="3"/>
  <c r="J7" i="3"/>
  <c r="J8" i="3"/>
  <c r="J10" i="3"/>
  <c r="J12" i="3"/>
  <c r="J15" i="3"/>
  <c r="J16" i="3"/>
  <c r="J17" i="3"/>
  <c r="J18" i="3"/>
  <c r="J19" i="3"/>
  <c r="J24" i="3"/>
  <c r="J27" i="3"/>
  <c r="J29" i="3"/>
  <c r="J30" i="3"/>
  <c r="J33" i="3"/>
  <c r="J35" i="3"/>
  <c r="J36" i="3"/>
  <c r="J37" i="3"/>
  <c r="J39" i="3"/>
  <c r="J41" i="3"/>
  <c r="J42" i="3"/>
  <c r="J43" i="3"/>
  <c r="J51" i="3"/>
  <c r="J54" i="3"/>
  <c r="J57" i="3"/>
  <c r="J60" i="3"/>
  <c r="D7" i="5"/>
  <c r="D9" i="5"/>
  <c r="D10" i="5"/>
  <c r="D11" i="5"/>
  <c r="D13" i="5"/>
  <c r="D14" i="5"/>
  <c r="D15" i="5"/>
  <c r="D16" i="5"/>
  <c r="D17" i="5"/>
  <c r="D18" i="5"/>
  <c r="D19" i="5"/>
  <c r="D22" i="5"/>
  <c r="D23" i="5"/>
  <c r="D24" i="5"/>
  <c r="D25" i="5"/>
  <c r="I20" i="3"/>
  <c r="D4" i="4"/>
  <c r="H3" i="3"/>
  <c r="G3" i="3"/>
  <c r="F3" i="3"/>
  <c r="E3" i="3"/>
  <c r="I6" i="3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G62" i="3"/>
  <c r="E23" i="4" s="1"/>
  <c r="F62" i="3"/>
  <c r="E62" i="3"/>
  <c r="D62" i="3"/>
  <c r="C62" i="3"/>
  <c r="G61" i="3"/>
  <c r="D23" i="4" s="1"/>
  <c r="F61" i="3"/>
  <c r="E61" i="3"/>
  <c r="D61" i="3"/>
  <c r="C61" i="3"/>
  <c r="I60" i="3"/>
  <c r="G60" i="3"/>
  <c r="C23" i="4" s="1"/>
  <c r="F60" i="3"/>
  <c r="E60" i="3"/>
  <c r="D60" i="3"/>
  <c r="C60" i="3"/>
  <c r="I59" i="3"/>
  <c r="G59" i="3"/>
  <c r="E22" i="4" s="1"/>
  <c r="F59" i="3"/>
  <c r="E59" i="3"/>
  <c r="H59" i="3" s="1"/>
  <c r="L22" i="4" s="1"/>
  <c r="D59" i="3"/>
  <c r="C59" i="3"/>
  <c r="G58" i="3"/>
  <c r="D22" i="4" s="1"/>
  <c r="F58" i="3"/>
  <c r="E58" i="3"/>
  <c r="D58" i="3"/>
  <c r="C58" i="3"/>
  <c r="G57" i="3"/>
  <c r="C22" i="4" s="1"/>
  <c r="F57" i="3"/>
  <c r="E57" i="3"/>
  <c r="D57" i="3"/>
  <c r="C57" i="3"/>
  <c r="I56" i="3"/>
  <c r="G56" i="3"/>
  <c r="E21" i="4" s="1"/>
  <c r="F56" i="3"/>
  <c r="E56" i="3"/>
  <c r="D56" i="3"/>
  <c r="C56" i="3"/>
  <c r="I55" i="3"/>
  <c r="H55" i="3"/>
  <c r="K21" i="4" s="1"/>
  <c r="G55" i="3"/>
  <c r="D21" i="4" s="1"/>
  <c r="F55" i="3"/>
  <c r="E55" i="3"/>
  <c r="D55" i="3"/>
  <c r="C55" i="3"/>
  <c r="G54" i="3"/>
  <c r="H54" i="3" s="1"/>
  <c r="J21" i="4" s="1"/>
  <c r="F54" i="3"/>
  <c r="E54" i="3"/>
  <c r="D54" i="3"/>
  <c r="C54" i="3"/>
  <c r="G53" i="3"/>
  <c r="E20" i="4" s="1"/>
  <c r="F53" i="3"/>
  <c r="E53" i="3"/>
  <c r="D53" i="3"/>
  <c r="C53" i="3"/>
  <c r="I52" i="3"/>
  <c r="G52" i="3"/>
  <c r="D20" i="4" s="1"/>
  <c r="F52" i="3"/>
  <c r="E52" i="3"/>
  <c r="D52" i="3"/>
  <c r="C52" i="3"/>
  <c r="I51" i="3"/>
  <c r="H51" i="3"/>
  <c r="J20" i="4" s="1"/>
  <c r="G51" i="3"/>
  <c r="C20" i="4" s="1"/>
  <c r="F51" i="3"/>
  <c r="E51" i="3"/>
  <c r="D51" i="3"/>
  <c r="C51" i="3"/>
  <c r="G50" i="3"/>
  <c r="H50" i="3" s="1"/>
  <c r="L19" i="4" s="1"/>
  <c r="F50" i="3"/>
  <c r="E50" i="3"/>
  <c r="D50" i="3"/>
  <c r="C50" i="3"/>
  <c r="G49" i="3"/>
  <c r="I49" i="3" s="1"/>
  <c r="F49" i="3"/>
  <c r="E49" i="3"/>
  <c r="D49" i="3"/>
  <c r="C49" i="3"/>
  <c r="I48" i="3"/>
  <c r="G48" i="3"/>
  <c r="C19" i="4" s="1"/>
  <c r="F48" i="3"/>
  <c r="E48" i="3"/>
  <c r="D48" i="3"/>
  <c r="C48" i="3"/>
  <c r="I47" i="3"/>
  <c r="H47" i="3"/>
  <c r="L18" i="4" s="1"/>
  <c r="G47" i="3"/>
  <c r="E18" i="4" s="1"/>
  <c r="F47" i="3"/>
  <c r="E47" i="3"/>
  <c r="D47" i="3"/>
  <c r="C47" i="3"/>
  <c r="G46" i="3"/>
  <c r="H46" i="3" s="1"/>
  <c r="K18" i="4" s="1"/>
  <c r="F46" i="3"/>
  <c r="E46" i="3"/>
  <c r="D46" i="3"/>
  <c r="C46" i="3"/>
  <c r="G45" i="3"/>
  <c r="C18" i="4" s="1"/>
  <c r="F45" i="3"/>
  <c r="E45" i="3"/>
  <c r="D45" i="3"/>
  <c r="C45" i="3"/>
  <c r="I44" i="3"/>
  <c r="G44" i="3"/>
  <c r="E17" i="4" s="1"/>
  <c r="F44" i="3"/>
  <c r="E44" i="3"/>
  <c r="D44" i="3"/>
  <c r="C44" i="3"/>
  <c r="I43" i="3"/>
  <c r="G43" i="3"/>
  <c r="H43" i="3" s="1"/>
  <c r="K17" i="4" s="1"/>
  <c r="F43" i="3"/>
  <c r="E43" i="3"/>
  <c r="D43" i="3"/>
  <c r="C43" i="3"/>
  <c r="I42" i="3"/>
  <c r="G42" i="3"/>
  <c r="C17" i="4" s="1"/>
  <c r="F42" i="3"/>
  <c r="E42" i="3"/>
  <c r="D42" i="3"/>
  <c r="C42" i="3"/>
  <c r="G41" i="3"/>
  <c r="E16" i="4" s="1"/>
  <c r="F41" i="3"/>
  <c r="E41" i="3"/>
  <c r="D41" i="3"/>
  <c r="C41" i="3"/>
  <c r="I40" i="3"/>
  <c r="G40" i="3"/>
  <c r="D16" i="4" s="1"/>
  <c r="F40" i="3"/>
  <c r="E40" i="3"/>
  <c r="D40" i="3"/>
  <c r="C40" i="3"/>
  <c r="I39" i="3"/>
  <c r="G39" i="3"/>
  <c r="C16" i="4" s="1"/>
  <c r="F16" i="4" s="1"/>
  <c r="F39" i="3"/>
  <c r="E39" i="3"/>
  <c r="D39" i="3"/>
  <c r="C39" i="3"/>
  <c r="I38" i="3"/>
  <c r="G38" i="3"/>
  <c r="E15" i="4" s="1"/>
  <c r="F38" i="3"/>
  <c r="E38" i="3"/>
  <c r="D38" i="3"/>
  <c r="C38" i="3"/>
  <c r="G37" i="3"/>
  <c r="I37" i="3" s="1"/>
  <c r="F37" i="3"/>
  <c r="E37" i="3"/>
  <c r="D37" i="3"/>
  <c r="C37" i="3"/>
  <c r="G36" i="3"/>
  <c r="C15" i="4" s="1"/>
  <c r="F36" i="3"/>
  <c r="E36" i="3"/>
  <c r="D36" i="3"/>
  <c r="C36" i="3"/>
  <c r="G35" i="3"/>
  <c r="E14" i="4" s="1"/>
  <c r="F35" i="3"/>
  <c r="E35" i="3"/>
  <c r="D35" i="3"/>
  <c r="C35" i="3"/>
  <c r="G34" i="3"/>
  <c r="I34" i="3" s="1"/>
  <c r="F34" i="3"/>
  <c r="E34" i="3"/>
  <c r="D34" i="3"/>
  <c r="C34" i="3"/>
  <c r="G33" i="3"/>
  <c r="I33" i="3" s="1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I18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D3" i="3"/>
  <c r="C3" i="3"/>
  <c r="F22" i="4" l="1"/>
  <c r="F20" i="4"/>
  <c r="F23" i="4"/>
  <c r="B29" i="4"/>
  <c r="C4" i="4"/>
  <c r="H7" i="3"/>
  <c r="K5" i="4" s="1"/>
  <c r="D5" i="4"/>
  <c r="E6" i="4"/>
  <c r="H11" i="3"/>
  <c r="L6" i="4" s="1"/>
  <c r="C8" i="4"/>
  <c r="H15" i="3"/>
  <c r="J8" i="4" s="1"/>
  <c r="E8" i="4"/>
  <c r="H17" i="3"/>
  <c r="L8" i="4" s="1"/>
  <c r="I21" i="3"/>
  <c r="C10" i="4"/>
  <c r="H21" i="3"/>
  <c r="J10" i="4" s="1"/>
  <c r="I25" i="3"/>
  <c r="H25" i="3"/>
  <c r="K11" i="4" s="1"/>
  <c r="D11" i="4"/>
  <c r="E12" i="4"/>
  <c r="I29" i="3"/>
  <c r="H29" i="3"/>
  <c r="L12" i="4" s="1"/>
  <c r="B31" i="4"/>
  <c r="E4" i="4"/>
  <c r="H5" i="3"/>
  <c r="C6" i="4"/>
  <c r="H9" i="3"/>
  <c r="J6" i="4" s="1"/>
  <c r="H13" i="3"/>
  <c r="K7" i="4" s="1"/>
  <c r="D7" i="4"/>
  <c r="H19" i="3"/>
  <c r="K9" i="4" s="1"/>
  <c r="D9" i="4"/>
  <c r="I5" i="3"/>
  <c r="I7" i="3"/>
  <c r="I9" i="3"/>
  <c r="I11" i="3"/>
  <c r="I13" i="3"/>
  <c r="I15" i="3"/>
  <c r="I17" i="3"/>
  <c r="I19" i="3"/>
  <c r="D10" i="4"/>
  <c r="I22" i="3"/>
  <c r="H22" i="3"/>
  <c r="K10" i="4" s="1"/>
  <c r="I26" i="3"/>
  <c r="E11" i="4"/>
  <c r="H26" i="3"/>
  <c r="L11" i="4" s="1"/>
  <c r="C13" i="4"/>
  <c r="I30" i="3"/>
  <c r="H30" i="3"/>
  <c r="J13" i="4" s="1"/>
  <c r="B30" i="4"/>
  <c r="H4" i="3"/>
  <c r="E5" i="4"/>
  <c r="H8" i="3"/>
  <c r="L5" i="4" s="1"/>
  <c r="C7" i="4"/>
  <c r="H12" i="3"/>
  <c r="J7" i="4" s="1"/>
  <c r="D8" i="4"/>
  <c r="H16" i="3"/>
  <c r="K8" i="4" s="1"/>
  <c r="C9" i="4"/>
  <c r="H18" i="3"/>
  <c r="J9" i="4" s="1"/>
  <c r="E9" i="4"/>
  <c r="H20" i="3"/>
  <c r="L9" i="4" s="1"/>
  <c r="E10" i="4"/>
  <c r="I23" i="3"/>
  <c r="H23" i="3"/>
  <c r="L10" i="4" s="1"/>
  <c r="I27" i="3"/>
  <c r="C12" i="4"/>
  <c r="H27" i="3"/>
  <c r="J12" i="4" s="1"/>
  <c r="I31" i="3"/>
  <c r="H31" i="3"/>
  <c r="K13" i="4" s="1"/>
  <c r="D13" i="4"/>
  <c r="C5" i="4"/>
  <c r="H6" i="3"/>
  <c r="J5" i="4" s="1"/>
  <c r="D6" i="4"/>
  <c r="H10" i="3"/>
  <c r="K6" i="4" s="1"/>
  <c r="E7" i="4"/>
  <c r="H14" i="3"/>
  <c r="L7" i="4" s="1"/>
  <c r="I4" i="3"/>
  <c r="I8" i="3"/>
  <c r="I10" i="3"/>
  <c r="I12" i="3"/>
  <c r="I14" i="3"/>
  <c r="I16" i="3"/>
  <c r="C11" i="4"/>
  <c r="F11" i="4" s="1"/>
  <c r="I24" i="3"/>
  <c r="H24" i="3"/>
  <c r="J11" i="4" s="1"/>
  <c r="D12" i="4"/>
  <c r="I28" i="3"/>
  <c r="H28" i="3"/>
  <c r="K12" i="4" s="1"/>
  <c r="I32" i="3"/>
  <c r="E13" i="4"/>
  <c r="H32" i="3"/>
  <c r="L13" i="4" s="1"/>
  <c r="H45" i="3"/>
  <c r="J18" i="4" s="1"/>
  <c r="M18" i="4" s="1"/>
  <c r="I46" i="3"/>
  <c r="H49" i="3"/>
  <c r="K19" i="4" s="1"/>
  <c r="I50" i="3"/>
  <c r="H53" i="3"/>
  <c r="L20" i="4" s="1"/>
  <c r="I54" i="3"/>
  <c r="H57" i="3"/>
  <c r="J22" i="4" s="1"/>
  <c r="I58" i="3"/>
  <c r="H61" i="3"/>
  <c r="K23" i="4" s="1"/>
  <c r="I62" i="3"/>
  <c r="D15" i="4"/>
  <c r="F15" i="4" s="1"/>
  <c r="D17" i="4"/>
  <c r="F17" i="4" s="1"/>
  <c r="D19" i="4"/>
  <c r="H33" i="3"/>
  <c r="J14" i="4" s="1"/>
  <c r="H34" i="3"/>
  <c r="K14" i="4" s="1"/>
  <c r="H35" i="3"/>
  <c r="L14" i="4" s="1"/>
  <c r="H36" i="3"/>
  <c r="J15" i="4" s="1"/>
  <c r="H37" i="3"/>
  <c r="K15" i="4" s="1"/>
  <c r="H38" i="3"/>
  <c r="L15" i="4" s="1"/>
  <c r="H39" i="3"/>
  <c r="J16" i="4" s="1"/>
  <c r="H40" i="3"/>
  <c r="K16" i="4" s="1"/>
  <c r="H41" i="3"/>
  <c r="L16" i="4" s="1"/>
  <c r="H42" i="3"/>
  <c r="J17" i="4" s="1"/>
  <c r="H44" i="3"/>
  <c r="L17" i="4" s="1"/>
  <c r="I45" i="3"/>
  <c r="H48" i="3"/>
  <c r="J19" i="4" s="1"/>
  <c r="H52" i="3"/>
  <c r="K20" i="4" s="1"/>
  <c r="M20" i="4" s="1"/>
  <c r="I53" i="3"/>
  <c r="H56" i="3"/>
  <c r="L21" i="4" s="1"/>
  <c r="M21" i="4" s="1"/>
  <c r="I57" i="3"/>
  <c r="H60" i="3"/>
  <c r="J23" i="4" s="1"/>
  <c r="I61" i="3"/>
  <c r="C14" i="4"/>
  <c r="E19" i="4"/>
  <c r="C21" i="4"/>
  <c r="F21" i="4" s="1"/>
  <c r="D14" i="4"/>
  <c r="D18" i="4"/>
  <c r="F18" i="4" s="1"/>
  <c r="I35" i="3"/>
  <c r="I36" i="3"/>
  <c r="H58" i="3"/>
  <c r="K22" i="4" s="1"/>
  <c r="H62" i="3"/>
  <c r="L23" i="4" s="1"/>
  <c r="F19" i="4" l="1"/>
  <c r="M16" i="4"/>
  <c r="F12" i="4"/>
  <c r="F9" i="4"/>
  <c r="F7" i="4"/>
  <c r="M23" i="4"/>
  <c r="M17" i="4"/>
  <c r="M5" i="4"/>
  <c r="M19" i="4"/>
  <c r="M11" i="4"/>
  <c r="M14" i="4"/>
  <c r="M13" i="4"/>
  <c r="D31" i="4"/>
  <c r="E31" i="4" s="1"/>
  <c r="F31" i="4" s="1"/>
  <c r="C31" i="4"/>
  <c r="L4" i="4"/>
  <c r="L24" i="4" s="1"/>
  <c r="F8" i="4"/>
  <c r="F14" i="4"/>
  <c r="M15" i="4"/>
  <c r="F5" i="4"/>
  <c r="M12" i="4"/>
  <c r="M9" i="4"/>
  <c r="M7" i="4"/>
  <c r="C30" i="4"/>
  <c r="K4" i="4"/>
  <c r="K24" i="4" s="1"/>
  <c r="D29" i="4"/>
  <c r="E24" i="4"/>
  <c r="C29" i="4"/>
  <c r="J4" i="4"/>
  <c r="D24" i="4"/>
  <c r="F13" i="4"/>
  <c r="M6" i="4"/>
  <c r="M10" i="4"/>
  <c r="F4" i="4"/>
  <c r="C24" i="4"/>
  <c r="M22" i="4"/>
  <c r="D30" i="4"/>
  <c r="E30" i="4" s="1"/>
  <c r="F30" i="4" s="1"/>
  <c r="F6" i="4"/>
  <c r="F10" i="4"/>
  <c r="M8" i="4"/>
  <c r="E29" i="4" l="1"/>
  <c r="F29" i="4" s="1"/>
  <c r="M4" i="4"/>
  <c r="M24" i="4" s="1"/>
  <c r="J24" i="4"/>
  <c r="F24" i="4"/>
  <c r="G10" i="5"/>
  <c r="G7" i="5"/>
  <c r="J3" i="3"/>
  <c r="G6" i="5" l="1"/>
  <c r="J9" i="3"/>
  <c r="J11" i="3"/>
  <c r="J13" i="3"/>
  <c r="J14" i="3"/>
  <c r="J20" i="3"/>
  <c r="J21" i="3"/>
  <c r="J22" i="3"/>
  <c r="J23" i="3"/>
  <c r="J25" i="3"/>
  <c r="J26" i="3"/>
  <c r="J28" i="3"/>
  <c r="J31" i="3"/>
  <c r="J32" i="3"/>
  <c r="J34" i="3"/>
  <c r="J38" i="3"/>
  <c r="J40" i="3"/>
  <c r="J44" i="3"/>
  <c r="J45" i="3"/>
  <c r="J46" i="3"/>
  <c r="J47" i="3"/>
  <c r="J48" i="3"/>
  <c r="J49" i="3"/>
  <c r="J50" i="3"/>
  <c r="J52" i="3"/>
  <c r="J53" i="3"/>
  <c r="J55" i="3"/>
  <c r="J56" i="3"/>
  <c r="J58" i="3"/>
  <c r="J59" i="3"/>
  <c r="J61" i="3"/>
  <c r="J62" i="3"/>
  <c r="D8" i="5"/>
  <c r="F8" i="5"/>
  <c r="G8" i="5"/>
  <c r="E9" i="5"/>
  <c r="F9" i="5"/>
  <c r="G9" i="5"/>
  <c r="F11" i="5"/>
  <c r="G11" i="5"/>
  <c r="D12" i="5"/>
  <c r="E12" i="5"/>
  <c r="F12" i="5"/>
  <c r="G12" i="5"/>
  <c r="E13" i="5"/>
  <c r="F13" i="5"/>
  <c r="G13" i="5"/>
  <c r="E14" i="5"/>
  <c r="G14" i="5"/>
  <c r="E15" i="5"/>
  <c r="F15" i="5"/>
  <c r="G15" i="5"/>
  <c r="E16" i="5"/>
  <c r="G16" i="5"/>
  <c r="F17" i="5"/>
  <c r="G17" i="5"/>
  <c r="E18" i="5"/>
  <c r="G18" i="5"/>
  <c r="F19" i="5"/>
  <c r="G19" i="5"/>
  <c r="D20" i="5"/>
  <c r="E20" i="5"/>
  <c r="F20" i="5"/>
  <c r="G20" i="5"/>
  <c r="D21" i="5"/>
  <c r="E21" i="5"/>
  <c r="F21" i="5"/>
  <c r="G21" i="5"/>
  <c r="E22" i="5"/>
  <c r="F22" i="5"/>
  <c r="G22" i="5"/>
  <c r="E23" i="5"/>
  <c r="F23" i="5"/>
  <c r="G23" i="5"/>
  <c r="E24" i="5"/>
  <c r="F24" i="5"/>
  <c r="G24" i="5"/>
  <c r="E25" i="5"/>
  <c r="F25" i="5"/>
  <c r="G25" i="5"/>
  <c r="D26" i="5"/>
  <c r="E26" i="5"/>
  <c r="F26" i="5"/>
  <c r="G26" i="5"/>
</calcChain>
</file>

<file path=xl/sharedStrings.xml><?xml version="1.0" encoding="utf-8"?>
<sst xmlns="http://schemas.openxmlformats.org/spreadsheetml/2006/main" count="712" uniqueCount="183">
  <si>
    <t>ProductID</t>
  </si>
  <si>
    <t>Product Name</t>
  </si>
  <si>
    <t>Category</t>
  </si>
  <si>
    <t>Cost/Unit ($)</t>
  </si>
  <si>
    <t>Reorder Level</t>
  </si>
  <si>
    <t>Supplier</t>
  </si>
  <si>
    <t>P001</t>
  </si>
  <si>
    <t>Thermal Coffee Mug</t>
  </si>
  <si>
    <t>Lifestyle</t>
  </si>
  <si>
    <t>NovaBrew Supplies</t>
  </si>
  <si>
    <t>P002</t>
  </si>
  <si>
    <t>Wireless Earbuds</t>
  </si>
  <si>
    <t>Electronics</t>
  </si>
  <si>
    <t>TechLink Distributors</t>
  </si>
  <si>
    <t>P003</t>
  </si>
  <si>
    <t>Organic Lip Balm Set</t>
  </si>
  <si>
    <t>Health &amp; Beauty</t>
  </si>
  <si>
    <t>PureGlow Imports</t>
  </si>
  <si>
    <t>P004</t>
  </si>
  <si>
    <t>Foldable Tote Bag</t>
  </si>
  <si>
    <t>Apparel</t>
  </si>
  <si>
    <t>UrbanCraft Co.</t>
  </si>
  <si>
    <t>P005</t>
  </si>
  <si>
    <t>Mini Succulent Pot</t>
  </si>
  <si>
    <t>GreenEdge Nurseries</t>
  </si>
  <si>
    <t>P006</t>
  </si>
  <si>
    <t>Puzzle Notebook</t>
  </si>
  <si>
    <t>Stationery</t>
  </si>
  <si>
    <t>PageMaster Supplies</t>
  </si>
  <si>
    <t>P007</t>
  </si>
  <si>
    <t>Protein Snack Bar</t>
  </si>
  <si>
    <t>Food &amp; Drink</t>
  </si>
  <si>
    <t>NutriPeak Foods</t>
  </si>
  <si>
    <t>P008</t>
  </si>
  <si>
    <t>Bamboo Toothbrush Pack</t>
  </si>
  <si>
    <t>EcoRoot Imports</t>
  </si>
  <si>
    <t>P009</t>
  </si>
  <si>
    <t>LED Book Light</t>
  </si>
  <si>
    <t>P010</t>
  </si>
  <si>
    <t>Canvas Zipper Pouch</t>
  </si>
  <si>
    <t>P011</t>
  </si>
  <si>
    <t>Herbal Tea Sampler</t>
  </si>
  <si>
    <t>P012</t>
  </si>
  <si>
    <t>Sticky Note Set</t>
  </si>
  <si>
    <t>P013</t>
  </si>
  <si>
    <t>Reusable Straw Kit</t>
  </si>
  <si>
    <t>P014</t>
  </si>
  <si>
    <t>Desktop Cable Organiser</t>
  </si>
  <si>
    <t>P015</t>
  </si>
  <si>
    <t>Scented Hand Cream</t>
  </si>
  <si>
    <t>P016</t>
  </si>
  <si>
    <t>Insulated Lunch Bag</t>
  </si>
  <si>
    <t>P017</t>
  </si>
  <si>
    <t>Motivational Poster Set</t>
  </si>
  <si>
    <t>P018</t>
  </si>
  <si>
    <t>Trail Mix Jar</t>
  </si>
  <si>
    <t>P019</t>
  </si>
  <si>
    <t>Magnetic Phone Mount</t>
  </si>
  <si>
    <t>P020</t>
  </si>
  <si>
    <t>Yoga Resistance Band</t>
  </si>
  <si>
    <t>ActiveCore Wholesale</t>
  </si>
  <si>
    <t>Transactions — stock movements</t>
  </si>
  <si>
    <t>TransID</t>
  </si>
  <si>
    <t>Date</t>
  </si>
  <si>
    <t>Site</t>
  </si>
  <si>
    <t>Quantity</t>
  </si>
  <si>
    <t>Type</t>
  </si>
  <si>
    <t>T001</t>
  </si>
  <si>
    <t>Store A</t>
  </si>
  <si>
    <t>Opening Stock</t>
  </si>
  <si>
    <t>T002</t>
  </si>
  <si>
    <t>Store B</t>
  </si>
  <si>
    <t>T003</t>
  </si>
  <si>
    <t>Store C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</si>
  <si>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</si>
  <si>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</si>
  <si>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</si>
  <si>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</si>
  <si>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</si>
  <si>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</si>
  <si>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</si>
  <si>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</si>
  <si>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</si>
  <si>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</si>
  <si>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</si>
  <si>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</si>
  <si>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</si>
  <si>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</si>
  <si>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</si>
  <si>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</si>
  <si>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</si>
  <si>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</si>
  <si>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</si>
  <si>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</si>
  <si>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</si>
  <si>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</si>
  <si>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</si>
  <si>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</si>
  <si>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</si>
  <si>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</si>
  <si>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</si>
  <si>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</si>
  <si>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</si>
  <si>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</si>
  <si>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</si>
  <si>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</si>
  <si>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</si>
  <si>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</si>
  <si>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</si>
  <si>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</si>
  <si>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</si>
  <si>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</si>
  <si>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</si>
  <si>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</si>
  <si>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</si>
  <si>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</si>
  <si>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</si>
  <si>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</si>
  <si>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</si>
  <si>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</si>
  <si>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</si>
  <si>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</si>
  <si>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</si>
  <si>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</si>
  <si>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</si>
  <si>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</si>
  <si>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</si>
  <si>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</si>
  <si>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</si>
  <si>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</si>
  <si>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</si>
  <si>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</si>
  <si>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Sale</t>
  </si>
  <si>
    <t>T062</t>
  </si>
  <si>
    <t>T063</t>
  </si>
  <si>
    <t>Receipt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</si>
  <si>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</si>
  <si>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</si>
  <si>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</si>
  <si>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</si>
  <si>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</si>
  <si>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</si>
  <si>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</si>
  <si>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</si>
  <si>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</si>
  <si>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</si>
  <si>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</si>
  <si>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</si>
  <si>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</si>
  <si>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</si>
  <si>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</si>
  <si>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</si>
  <si>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</si>
  <si>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</si>
  <si>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Total Stock Value ($):</t>
  </si>
  <si>
    <t>Qty on Hand</t>
  </si>
  <si>
    <t>Stock Value ($)</t>
  </si>
  <si>
    <t>Reorder?</t>
  </si>
  <si>
    <t>Order Date</t>
  </si>
  <si>
    <t>Quantity on hand by store</t>
  </si>
  <si>
    <t>Stock value by store ($)</t>
  </si>
  <si>
    <t>Grand Total</t>
  </si>
  <si>
    <t>Store health scorecard</t>
  </si>
  <si>
    <t>Store</t>
  </si>
  <si>
    <t>Total qty</t>
  </si>
  <si>
    <t>Stock value ($)</t>
  </si>
  <si>
    <t>Items below reorder</t>
  </si>
  <si>
    <t>Reorder risk %</t>
  </si>
  <si>
    <t>Health status</t>
  </si>
  <si>
    <t>Reorder filter:</t>
  </si>
  <si>
    <t>Yes</t>
  </si>
  <si>
    <t>Order date:</t>
  </si>
  <si>
    <t>← change date here to update Inventory order dates</t>
  </si>
  <si>
    <t>Store A reorder qty</t>
  </si>
  <si>
    <t>Store B reorder qty</t>
  </si>
  <si>
    <t>Store C reorder qty</t>
  </si>
  <si>
    <t>Total to order</t>
  </si>
  <si>
    <t>Total units to order</t>
  </si>
  <si>
    <t>No</t>
  </si>
  <si>
    <t>Reorder summary</t>
  </si>
  <si>
    <t>Live Stock Reports</t>
  </si>
  <si>
    <t xml:space="preserve">Inventory </t>
  </si>
  <si>
    <t>Products — Master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</si>
</sst>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;\-0;&quot;&quot;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0"/>
      <color rgb="FF9FE1CB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085041"/>
      <name val="Arial"/>
      <charset val="1"/>
    </font>
    <font>
      <b/>
      <sz val="11"/>
      <color rgb="FF000000"/>
      <name val="Arial"/>
      <charset val="1"/>
    </font>
    <font>
      <i/>
      <sz val="10"/>
      <color rgb="FF5F5E5A"/>
      <name val="Arial"/>
      <charset val="1"/>
    </font>
    <font>
      <b/>
      <sz val="11"/>
      <color theme="1" tint="0.249977111117893"/>
      <name val="Arial"/>
      <family val="2"/>
    </font>
    <font>
      <i/>
      <sz val="10"/>
      <color rgb="FF9FE1CB"/>
      <name val="Arial"/>
      <family val="2"/>
    </font>
    <font>
      <b/>
      <sz val="14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85041"/>
        <bgColor rgb="FF0F6E56"/>
      </patternFill>
    </fill>
    <fill>
      <patternFill patternType="solid">
        <fgColor rgb="FFE1F5EE"/>
        <bgColor rgb="FFD6F0E8"/>
      </patternFill>
    </fill>
    <fill>
      <patternFill patternType="solid">
        <fgColor rgb="FF0F6E56"/>
        <bgColor rgb="FF008080"/>
      </patternFill>
    </fill>
    <fill>
      <patternFill patternType="solid">
        <fgColor rgb="FFFCE4D6"/>
        <bgColor rgb="FFE1F5EE"/>
      </patternFill>
    </fill>
    <fill>
      <patternFill patternType="solid">
        <fgColor rgb="FFD6F0E8"/>
        <bgColor rgb="FFE1F5EE"/>
      </patternFill>
    </fill>
    <fill>
      <patternFill patternType="solid">
        <fgColor rgb="FF9FE1CB"/>
        <bgColor rgb="FFB0D8C8"/>
      </patternFill>
    </fill>
    <fill>
      <patternFill patternType="solid">
        <fgColor rgb="FF1D9E75"/>
        <bgColor rgb="FF008080"/>
      </patternFill>
    </fill>
    <fill>
      <patternFill patternType="solid">
        <fgColor rgb="FF993C1D"/>
        <bgColor rgb="FF993366"/>
      </patternFill>
    </fill>
  </fills>
  <borders count="3">
    <border>
      <left/>
      <right/>
      <top/>
      <bottom/>
      <diagonal/>
    </border>
    <border>
      <left style="thin">
        <color rgb="FFB0D8C8"/>
      </left>
      <right style="thin">
        <color rgb="FFB0D8C8"/>
      </right>
      <top style="thin">
        <color rgb="FFB0D8C8"/>
      </top>
      <bottom style="thin">
        <color rgb="FFB0D8C8"/>
      </bottom>
      <diagonal/>
    </border>
    <border>
      <left style="thin">
        <color rgb="FFB0D8C8"/>
      </left>
      <right/>
      <top style="thin">
        <color rgb="FFB0D8C8"/>
      </top>
      <bottom style="thin">
        <color rgb="FFB0D8C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8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4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right"/>
    </xf>
    <xf numFmtId="9" fontId="5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right"/>
    </xf>
    <xf numFmtId="9" fontId="5" fillId="0" borderId="1" xfId="0" applyNumberFormat="1" applyFont="1" applyBorder="1" applyAlignment="1">
      <alignment horizontal="center"/>
    </xf>
    <xf numFmtId="0" fontId="6" fillId="0" borderId="0" xfId="0" applyFont="1"/>
    <xf numFmtId="0" fontId="2" fillId="9" borderId="1" xfId="0" applyFont="1" applyFill="1" applyBorder="1" applyAlignment="1">
      <alignment horizontal="center"/>
    </xf>
    <xf numFmtId="0" fontId="9" fillId="0" borderId="0" xfId="0" applyFont="1"/>
    <xf numFmtId="0" fontId="2" fillId="8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4" fontId="6" fillId="0" borderId="0" xfId="0" applyNumberFormat="1" applyFont="1"/>
    <xf numFmtId="14" fontId="5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14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0D8C8"/>
      <rgbColor rgb="FF808080"/>
      <rgbColor rgb="FF9999FF"/>
      <rgbColor rgb="FF993366"/>
      <rgbColor rgb="FFFCE4D6"/>
      <rgbColor rgb="FFD6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CCFFCC"/>
      <rgbColor rgb="FFFFFF99"/>
      <rgbColor rgb="FF9FE1C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85041"/>
      <rgbColor rgb="FF1D9E75"/>
      <rgbColor rgb="FF003300"/>
      <rgbColor rgb="FF333300"/>
      <rgbColor rgb="FF993C1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zoomScaleNormal="100" workbookViewId="0">
      <pane ySplit="3" topLeftCell="A4" activePane="bottomLeft" state="frozen"/>
      <selection pane="bottomLeft" activeCell="D32" sqref="D32"/>
    </sheetView>
  </sheetViews>
  <sheetFormatPr defaultColWidth="8.6328125" defaultRowHeight="14.5" x14ac:dyDescent="0.35"/>
  <cols>
    <col min="1" max="1" width="12" customWidth="1"/>
    <col min="2" max="2" width="13" customWidth="1"/>
    <col min="3" max="3" width="16" customWidth="1"/>
    <col min="4" max="4" width="22" customWidth="1"/>
    <col min="5" max="6" width="16" customWidth="1"/>
    <col min="8" max="8" width="28" customWidth="1"/>
    <col min="9" max="9" width="12" customWidth="1"/>
    <col min="10" max="12" width="14" customWidth="1"/>
    <col min="13" max="13" width="16" customWidth="1"/>
  </cols>
  <sheetData>
    <row r="1" spans="1:13" ht="31.5" customHeight="1" x14ac:dyDescent="0.35">
      <c r="A1" s="6" t="s">
        <v>180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5">
      <c r="A2" s="4" t="s">
        <v>159</v>
      </c>
      <c r="B2" s="4"/>
      <c r="C2" s="4"/>
      <c r="D2" s="4"/>
      <c r="E2" s="4"/>
      <c r="F2" s="4"/>
      <c r="H2" s="4" t="s">
        <v>160</v>
      </c>
      <c r="I2" s="4"/>
      <c r="J2" s="4"/>
      <c r="K2" s="4"/>
      <c r="L2" s="4"/>
      <c r="M2" s="4"/>
    </row>
    <row r="3" spans="1:13" ht="28" x14ac:dyDescent="0.35">
      <c r="A3" s="7" t="s">
        <v>1</v>
      </c>
      <c r="B3" s="7" t="s">
        <v>0</v>
      </c>
      <c r="C3" s="7" t="s">
        <v>68</v>
      </c>
      <c r="D3" s="7" t="s">
        <v>71</v>
      </c>
      <c r="E3" s="7" t="s">
        <v>73</v>
      </c>
      <c r="F3" s="7" t="s">
        <v>161</v>
      </c>
      <c r="H3" s="7" t="s">
        <v>1</v>
      </c>
      <c r="I3" s="7" t="s">
        <v>0</v>
      </c>
      <c r="J3" s="7" t="s">
        <v>68</v>
      </c>
      <c r="K3" s="7" t="s">
        <v>71</v>
      </c>
      <c r="L3" s="7" t="s">
        <v>73</v>
      </c>
      <c r="M3" s="7" t="s">
        <v>161</v>
      </c>
    </row>
    <row r="4" spans="1:13" x14ac:dyDescent="0.35">
      <c r="A4" s="12" t="s">
        <v>7</v>
      </c>
      <c r="B4" s="11" t="s">
        <v>6</v>
      </c>
      <c r="C4" s="27">
        <f>SUMIFS(Inventory!$G$3:$G$62,Inventory!$B$3:$B$62,B4,Inventory!$A$3:$A$62,"Store A")</f>
        <v>37</v>
      </c>
      <c r="D4" s="27">
        <f>SUMIFS(Inventory!$G$3:$G$62,Inventory!$B$3:$B$62,B4,Inventory!$A$3:$A$62,"Store B")</f>
        <v>25</v>
      </c>
      <c r="E4" s="27">
        <f>SUMIFS(Inventory!$G$3:$G$62,Inventory!$B$3:$B$62,B4,Inventory!$A$3:$A$62,"Store C")</f>
        <v>38</v>
      </c>
      <c r="F4" s="28">
        <f t="shared" ref="F4:F23" si="0">SUM(C4:E4)</f>
        <v>100</v>
      </c>
      <c r="H4" s="12" t="s">
        <v>7</v>
      </c>
      <c r="I4" s="11" t="s">
        <v>6</v>
      </c>
      <c r="J4" s="26">
        <f>SUMIFS(Inventory!$H$3:$H$62,Inventory!$B$3:$B$62,I4,Inventory!$A$3:$A$62,"Store A")</f>
        <v>333</v>
      </c>
      <c r="K4" s="26">
        <f>SUMIFS(Inventory!$H$3:$H$62,Inventory!$B$3:$B$62,I4,Inventory!$A$3:$A$62,"Store B")</f>
        <v>225</v>
      </c>
      <c r="L4" s="26">
        <f>SUMIFS(Inventory!$H$3:$H$62,Inventory!$B$3:$B$62,I4,Inventory!$A$3:$A$62,"Store C")</f>
        <v>342</v>
      </c>
      <c r="M4" s="29">
        <f t="shared" ref="M4:M23" si="1">SUM(J4:L4)</f>
        <v>900</v>
      </c>
    </row>
    <row r="5" spans="1:13" x14ac:dyDescent="0.35">
      <c r="A5" s="9" t="s">
        <v>11</v>
      </c>
      <c r="B5" s="8" t="s">
        <v>10</v>
      </c>
      <c r="C5" s="23">
        <f>SUMIFS(Inventory!$G$3:$G$62,Inventory!$B$3:$B$62,B5,Inventory!$A$3:$A$62,"Store A")</f>
        <v>36</v>
      </c>
      <c r="D5" s="23">
        <f>SUMIFS(Inventory!$G$3:$G$62,Inventory!$B$3:$B$62,B5,Inventory!$A$3:$A$62,"Store B")</f>
        <v>18</v>
      </c>
      <c r="E5" s="23">
        <f>SUMIFS(Inventory!$G$3:$G$62,Inventory!$B$3:$B$62,B5,Inventory!$A$3:$A$62,"Store C")</f>
        <v>22</v>
      </c>
      <c r="F5" s="24">
        <f t="shared" si="0"/>
        <v>76</v>
      </c>
      <c r="H5" s="9" t="s">
        <v>11</v>
      </c>
      <c r="I5" s="8" t="s">
        <v>10</v>
      </c>
      <c r="J5" s="22">
        <f>SUMIFS(Inventory!$H$3:$H$62,Inventory!$B$3:$B$62,I5,Inventory!$A$3:$A$62,"Store A")</f>
        <v>666</v>
      </c>
      <c r="K5" s="22">
        <f>SUMIFS(Inventory!$H$3:$H$62,Inventory!$B$3:$B$62,I5,Inventory!$A$3:$A$62,"Store B")</f>
        <v>333</v>
      </c>
      <c r="L5" s="22">
        <f>SUMIFS(Inventory!$H$3:$H$62,Inventory!$B$3:$B$62,I5,Inventory!$A$3:$A$62,"Store C")</f>
        <v>407</v>
      </c>
      <c r="M5" s="30">
        <f t="shared" si="1"/>
        <v>1406</v>
      </c>
    </row>
    <row r="6" spans="1:13" x14ac:dyDescent="0.35">
      <c r="A6" s="12" t="s">
        <v>15</v>
      </c>
      <c r="B6" s="11" t="s">
        <v>14</v>
      </c>
      <c r="C6" s="27">
        <f>SUMIFS(Inventory!$G$3:$G$62,Inventory!$B$3:$B$62,B6,Inventory!$A$3:$A$62,"Store A")</f>
        <v>23</v>
      </c>
      <c r="D6" s="27">
        <f>SUMIFS(Inventory!$G$3:$G$62,Inventory!$B$3:$B$62,B6,Inventory!$A$3:$A$62,"Store B")</f>
        <v>30</v>
      </c>
      <c r="E6" s="27">
        <f>SUMIFS(Inventory!$G$3:$G$62,Inventory!$B$3:$B$62,B6,Inventory!$A$3:$A$62,"Store C")</f>
        <v>8</v>
      </c>
      <c r="F6" s="28">
        <f t="shared" si="0"/>
        <v>61</v>
      </c>
      <c r="H6" s="12" t="s">
        <v>15</v>
      </c>
      <c r="I6" s="11" t="s">
        <v>14</v>
      </c>
      <c r="J6" s="26">
        <f>SUMIFS(Inventory!$H$3:$H$62,Inventory!$B$3:$B$62,I6,Inventory!$A$3:$A$62,"Store A")</f>
        <v>115</v>
      </c>
      <c r="K6" s="26">
        <f>SUMIFS(Inventory!$H$3:$H$62,Inventory!$B$3:$B$62,I6,Inventory!$A$3:$A$62,"Store B")</f>
        <v>150</v>
      </c>
      <c r="L6" s="26">
        <f>SUMIFS(Inventory!$H$3:$H$62,Inventory!$B$3:$B$62,I6,Inventory!$A$3:$A$62,"Store C")</f>
        <v>40</v>
      </c>
      <c r="M6" s="29">
        <f t="shared" si="1"/>
        <v>305</v>
      </c>
    </row>
    <row r="7" spans="1:13" x14ac:dyDescent="0.35">
      <c r="A7" s="9" t="s">
        <v>19</v>
      </c>
      <c r="B7" s="8" t="s">
        <v>18</v>
      </c>
      <c r="C7" s="23">
        <f>SUMIFS(Inventory!$G$3:$G$62,Inventory!$B$3:$B$62,B7,Inventory!$A$3:$A$62,"Store A")</f>
        <v>22</v>
      </c>
      <c r="D7" s="23">
        <f>SUMIFS(Inventory!$G$3:$G$62,Inventory!$B$3:$B$62,B7,Inventory!$A$3:$A$62,"Store B")</f>
        <v>4</v>
      </c>
      <c r="E7" s="23">
        <f>SUMIFS(Inventory!$G$3:$G$62,Inventory!$B$3:$B$62,B7,Inventory!$A$3:$A$62,"Store C")</f>
        <v>19</v>
      </c>
      <c r="F7" s="24">
        <f t="shared" si="0"/>
        <v>45</v>
      </c>
      <c r="H7" s="9" t="s">
        <v>19</v>
      </c>
      <c r="I7" s="8" t="s">
        <v>18</v>
      </c>
      <c r="J7" s="22">
        <f>SUMIFS(Inventory!$H$3:$H$62,Inventory!$B$3:$B$62,I7,Inventory!$A$3:$A$62,"Store A")</f>
        <v>165</v>
      </c>
      <c r="K7" s="22">
        <f>SUMIFS(Inventory!$H$3:$H$62,Inventory!$B$3:$B$62,I7,Inventory!$A$3:$A$62,"Store B")</f>
        <v>30</v>
      </c>
      <c r="L7" s="22">
        <f>SUMIFS(Inventory!$H$3:$H$62,Inventory!$B$3:$B$62,I7,Inventory!$A$3:$A$62,"Store C")</f>
        <v>142.5</v>
      </c>
      <c r="M7" s="30">
        <f t="shared" si="1"/>
        <v>337.5</v>
      </c>
    </row>
    <row r="8" spans="1:13" x14ac:dyDescent="0.35">
      <c r="A8" s="12" t="s">
        <v>23</v>
      </c>
      <c r="B8" s="11" t="s">
        <v>22</v>
      </c>
      <c r="C8" s="27">
        <f>SUMIFS(Inventory!$G$3:$G$62,Inventory!$B$3:$B$62,B8,Inventory!$A$3:$A$62,"Store A")</f>
        <v>46</v>
      </c>
      <c r="D8" s="27">
        <f>SUMIFS(Inventory!$G$3:$G$62,Inventory!$B$3:$B$62,B8,Inventory!$A$3:$A$62,"Store B")</f>
        <v>48</v>
      </c>
      <c r="E8" s="27">
        <f>SUMIFS(Inventory!$G$3:$G$62,Inventory!$B$3:$B$62,B8,Inventory!$A$3:$A$62,"Store C")</f>
        <v>31</v>
      </c>
      <c r="F8" s="28">
        <f t="shared" si="0"/>
        <v>125</v>
      </c>
      <c r="H8" s="12" t="s">
        <v>23</v>
      </c>
      <c r="I8" s="11" t="s">
        <v>22</v>
      </c>
      <c r="J8" s="26">
        <f>SUMIFS(Inventory!$H$3:$H$62,Inventory!$B$3:$B$62,I8,Inventory!$A$3:$A$62,"Store A")</f>
        <v>368</v>
      </c>
      <c r="K8" s="26">
        <f>SUMIFS(Inventory!$H$3:$H$62,Inventory!$B$3:$B$62,I8,Inventory!$A$3:$A$62,"Store B")</f>
        <v>384</v>
      </c>
      <c r="L8" s="26">
        <f>SUMIFS(Inventory!$H$3:$H$62,Inventory!$B$3:$B$62,I8,Inventory!$A$3:$A$62,"Store C")</f>
        <v>248</v>
      </c>
      <c r="M8" s="29">
        <f t="shared" si="1"/>
        <v>1000</v>
      </c>
    </row>
    <row r="9" spans="1:13" x14ac:dyDescent="0.35">
      <c r="A9" s="9" t="s">
        <v>26</v>
      </c>
      <c r="B9" s="8" t="s">
        <v>25</v>
      </c>
      <c r="C9" s="23">
        <f>SUMIFS(Inventory!$G$3:$G$62,Inventory!$B$3:$B$62,B9,Inventory!$A$3:$A$62,"Store A")</f>
        <v>35</v>
      </c>
      <c r="D9" s="23">
        <f>SUMIFS(Inventory!$G$3:$G$62,Inventory!$B$3:$B$62,B9,Inventory!$A$3:$A$62,"Store B")</f>
        <v>35</v>
      </c>
      <c r="E9" s="23">
        <f>SUMIFS(Inventory!$G$3:$G$62,Inventory!$B$3:$B$62,B9,Inventory!$A$3:$A$62,"Store C")</f>
        <v>28</v>
      </c>
      <c r="F9" s="24">
        <f t="shared" si="0"/>
        <v>98</v>
      </c>
      <c r="H9" s="9" t="s">
        <v>26</v>
      </c>
      <c r="I9" s="8" t="s">
        <v>25</v>
      </c>
      <c r="J9" s="22">
        <f>SUMIFS(Inventory!$H$3:$H$62,Inventory!$B$3:$B$62,I9,Inventory!$A$3:$A$62,"Store A")</f>
        <v>157.5</v>
      </c>
      <c r="K9" s="22">
        <f>SUMIFS(Inventory!$H$3:$H$62,Inventory!$B$3:$B$62,I9,Inventory!$A$3:$A$62,"Store B")</f>
        <v>157.5</v>
      </c>
      <c r="L9" s="22">
        <f>SUMIFS(Inventory!$H$3:$H$62,Inventory!$B$3:$B$62,I9,Inventory!$A$3:$A$62,"Store C")</f>
        <v>126</v>
      </c>
      <c r="M9" s="30">
        <f t="shared" si="1"/>
        <v>441</v>
      </c>
    </row>
    <row r="10" spans="1:13" x14ac:dyDescent="0.35">
      <c r="A10" s="12" t="s">
        <v>30</v>
      </c>
      <c r="B10" s="11" t="s">
        <v>29</v>
      </c>
      <c r="C10" s="27">
        <f>SUMIFS(Inventory!$G$3:$G$62,Inventory!$B$3:$B$62,B10,Inventory!$A$3:$A$62,"Store A")</f>
        <v>36</v>
      </c>
      <c r="D10" s="27">
        <f>SUMIFS(Inventory!$G$3:$G$62,Inventory!$B$3:$B$62,B10,Inventory!$A$3:$A$62,"Store B")</f>
        <v>5</v>
      </c>
      <c r="E10" s="27">
        <f>SUMIFS(Inventory!$G$3:$G$62,Inventory!$B$3:$B$62,B10,Inventory!$A$3:$A$62,"Store C")</f>
        <v>2</v>
      </c>
      <c r="F10" s="28">
        <f t="shared" si="0"/>
        <v>43</v>
      </c>
      <c r="H10" s="12" t="s">
        <v>30</v>
      </c>
      <c r="I10" s="11" t="s">
        <v>29</v>
      </c>
      <c r="J10" s="26">
        <f>SUMIFS(Inventory!$H$3:$H$62,Inventory!$B$3:$B$62,I10,Inventory!$A$3:$A$62,"Store A")</f>
        <v>126</v>
      </c>
      <c r="K10" s="26">
        <f>SUMIFS(Inventory!$H$3:$H$62,Inventory!$B$3:$B$62,I10,Inventory!$A$3:$A$62,"Store B")</f>
        <v>17.5</v>
      </c>
      <c r="L10" s="26">
        <f>SUMIFS(Inventory!$H$3:$H$62,Inventory!$B$3:$B$62,I10,Inventory!$A$3:$A$62,"Store C")</f>
        <v>7</v>
      </c>
      <c r="M10" s="29">
        <f t="shared" si="1"/>
        <v>150.5</v>
      </c>
    </row>
    <row r="11" spans="1:13" x14ac:dyDescent="0.35">
      <c r="A11" s="9" t="s">
        <v>34</v>
      </c>
      <c r="B11" s="8" t="s">
        <v>33</v>
      </c>
      <c r="C11" s="23">
        <f>SUMIFS(Inventory!$G$3:$G$62,Inventory!$B$3:$B$62,B11,Inventory!$A$3:$A$62,"Store A")</f>
        <v>22</v>
      </c>
      <c r="D11" s="23">
        <f>SUMIFS(Inventory!$G$3:$G$62,Inventory!$B$3:$B$62,B11,Inventory!$A$3:$A$62,"Store B")</f>
        <v>11</v>
      </c>
      <c r="E11" s="23">
        <f>SUMIFS(Inventory!$G$3:$G$62,Inventory!$B$3:$B$62,B11,Inventory!$A$3:$A$62,"Store C")</f>
        <v>20</v>
      </c>
      <c r="F11" s="24">
        <f t="shared" si="0"/>
        <v>53</v>
      </c>
      <c r="H11" s="9" t="s">
        <v>34</v>
      </c>
      <c r="I11" s="8" t="s">
        <v>33</v>
      </c>
      <c r="J11" s="22">
        <f>SUMIFS(Inventory!$H$3:$H$62,Inventory!$B$3:$B$62,I11,Inventory!$A$3:$A$62,"Store A")</f>
        <v>132</v>
      </c>
      <c r="K11" s="22">
        <f>SUMIFS(Inventory!$H$3:$H$62,Inventory!$B$3:$B$62,I11,Inventory!$A$3:$A$62,"Store B")</f>
        <v>66</v>
      </c>
      <c r="L11" s="22">
        <f>SUMIFS(Inventory!$H$3:$H$62,Inventory!$B$3:$B$62,I11,Inventory!$A$3:$A$62,"Store C")</f>
        <v>120</v>
      </c>
      <c r="M11" s="30">
        <f t="shared" si="1"/>
        <v>318</v>
      </c>
    </row>
    <row r="12" spans="1:13" x14ac:dyDescent="0.35">
      <c r="A12" s="12" t="s">
        <v>37</v>
      </c>
      <c r="B12" s="11" t="s">
        <v>36</v>
      </c>
      <c r="C12" s="27">
        <f>SUMIFS(Inventory!$G$3:$G$62,Inventory!$B$3:$B$62,B12,Inventory!$A$3:$A$62,"Store A")</f>
        <v>12</v>
      </c>
      <c r="D12" s="27">
        <f>SUMIFS(Inventory!$G$3:$G$62,Inventory!$B$3:$B$62,B12,Inventory!$A$3:$A$62,"Store B")</f>
        <v>4</v>
      </c>
      <c r="E12" s="27">
        <f>SUMIFS(Inventory!$G$3:$G$62,Inventory!$B$3:$B$62,B12,Inventory!$A$3:$A$62,"Store C")</f>
        <v>24</v>
      </c>
      <c r="F12" s="28">
        <f t="shared" si="0"/>
        <v>40</v>
      </c>
      <c r="H12" s="12" t="s">
        <v>37</v>
      </c>
      <c r="I12" s="11" t="s">
        <v>36</v>
      </c>
      <c r="J12" s="26">
        <f>SUMIFS(Inventory!$H$3:$H$62,Inventory!$B$3:$B$62,I12,Inventory!$A$3:$A$62,"Store A")</f>
        <v>132</v>
      </c>
      <c r="K12" s="26">
        <f>SUMIFS(Inventory!$H$3:$H$62,Inventory!$B$3:$B$62,I12,Inventory!$A$3:$A$62,"Store B")</f>
        <v>44</v>
      </c>
      <c r="L12" s="26">
        <f>SUMIFS(Inventory!$H$3:$H$62,Inventory!$B$3:$B$62,I12,Inventory!$A$3:$A$62,"Store C")</f>
        <v>264</v>
      </c>
      <c r="M12" s="29">
        <f t="shared" si="1"/>
        <v>440</v>
      </c>
    </row>
    <row r="13" spans="1:13" x14ac:dyDescent="0.35">
      <c r="A13" s="9" t="s">
        <v>39</v>
      </c>
      <c r="B13" s="8" t="s">
        <v>38</v>
      </c>
      <c r="C13" s="23">
        <f>SUMIFS(Inventory!$G$3:$G$62,Inventory!$B$3:$B$62,B13,Inventory!$A$3:$A$62,"Store A")</f>
        <v>20</v>
      </c>
      <c r="D13" s="23">
        <f>SUMIFS(Inventory!$G$3:$G$62,Inventory!$B$3:$B$62,B13,Inventory!$A$3:$A$62,"Store B")</f>
        <v>15</v>
      </c>
      <c r="E13" s="23">
        <f>SUMIFS(Inventory!$G$3:$G$62,Inventory!$B$3:$B$62,B13,Inventory!$A$3:$A$62,"Store C")</f>
        <v>14</v>
      </c>
      <c r="F13" s="24">
        <f t="shared" si="0"/>
        <v>49</v>
      </c>
      <c r="H13" s="9" t="s">
        <v>39</v>
      </c>
      <c r="I13" s="8" t="s">
        <v>38</v>
      </c>
      <c r="J13" s="22">
        <f>SUMIFS(Inventory!$H$3:$H$62,Inventory!$B$3:$B$62,I13,Inventory!$A$3:$A$62,"Store A")</f>
        <v>110</v>
      </c>
      <c r="K13" s="22">
        <f>SUMIFS(Inventory!$H$3:$H$62,Inventory!$B$3:$B$62,I13,Inventory!$A$3:$A$62,"Store B")</f>
        <v>82.5</v>
      </c>
      <c r="L13" s="22">
        <f>SUMIFS(Inventory!$H$3:$H$62,Inventory!$B$3:$B$62,I13,Inventory!$A$3:$A$62,"Store C")</f>
        <v>77</v>
      </c>
      <c r="M13" s="30">
        <f t="shared" si="1"/>
        <v>269.5</v>
      </c>
    </row>
    <row r="14" spans="1:13" x14ac:dyDescent="0.35">
      <c r="A14" s="12" t="s">
        <v>41</v>
      </c>
      <c r="B14" s="11" t="s">
        <v>40</v>
      </c>
      <c r="C14" s="27">
        <f>SUMIFS(Inventory!$G$3:$G$62,Inventory!$B$3:$B$62,B14,Inventory!$A$3:$A$62,"Store A")</f>
        <v>16</v>
      </c>
      <c r="D14" s="27">
        <f>SUMIFS(Inventory!$G$3:$G$62,Inventory!$B$3:$B$62,B14,Inventory!$A$3:$A$62,"Store B")</f>
        <v>14</v>
      </c>
      <c r="E14" s="27">
        <f>SUMIFS(Inventory!$G$3:$G$62,Inventory!$B$3:$B$62,B14,Inventory!$A$3:$A$62,"Store C")</f>
        <v>32</v>
      </c>
      <c r="F14" s="28">
        <f t="shared" si="0"/>
        <v>62</v>
      </c>
      <c r="H14" s="12" t="s">
        <v>41</v>
      </c>
      <c r="I14" s="11" t="s">
        <v>40</v>
      </c>
      <c r="J14" s="26">
        <f>SUMIFS(Inventory!$H$3:$H$62,Inventory!$B$3:$B$62,I14,Inventory!$A$3:$A$62,"Store A")</f>
        <v>160</v>
      </c>
      <c r="K14" s="26">
        <f>SUMIFS(Inventory!$H$3:$H$62,Inventory!$B$3:$B$62,I14,Inventory!$A$3:$A$62,"Store B")</f>
        <v>140</v>
      </c>
      <c r="L14" s="26">
        <f>SUMIFS(Inventory!$H$3:$H$62,Inventory!$B$3:$B$62,I14,Inventory!$A$3:$A$62,"Store C")</f>
        <v>320</v>
      </c>
      <c r="M14" s="29">
        <f t="shared" si="1"/>
        <v>620</v>
      </c>
    </row>
    <row r="15" spans="1:13" x14ac:dyDescent="0.35">
      <c r="A15" s="9" t="s">
        <v>43</v>
      </c>
      <c r="B15" s="8" t="s">
        <v>42</v>
      </c>
      <c r="C15" s="23">
        <f>SUMIFS(Inventory!$G$3:$G$62,Inventory!$B$3:$B$62,B15,Inventory!$A$3:$A$62,"Store A")</f>
        <v>60</v>
      </c>
      <c r="D15" s="23">
        <f>SUMIFS(Inventory!$G$3:$G$62,Inventory!$B$3:$B$62,B15,Inventory!$A$3:$A$62,"Store B")</f>
        <v>45</v>
      </c>
      <c r="E15" s="23">
        <f>SUMIFS(Inventory!$G$3:$G$62,Inventory!$B$3:$B$62,B15,Inventory!$A$3:$A$62,"Store C")</f>
        <v>27</v>
      </c>
      <c r="F15" s="24">
        <f t="shared" si="0"/>
        <v>132</v>
      </c>
      <c r="H15" s="9" t="s">
        <v>43</v>
      </c>
      <c r="I15" s="8" t="s">
        <v>42</v>
      </c>
      <c r="J15" s="22">
        <f>SUMIFS(Inventory!$H$3:$H$62,Inventory!$B$3:$B$62,I15,Inventory!$A$3:$A$62,"Store A")</f>
        <v>150</v>
      </c>
      <c r="K15" s="22">
        <f>SUMIFS(Inventory!$H$3:$H$62,Inventory!$B$3:$B$62,I15,Inventory!$A$3:$A$62,"Store B")</f>
        <v>112.5</v>
      </c>
      <c r="L15" s="22">
        <f>SUMIFS(Inventory!$H$3:$H$62,Inventory!$B$3:$B$62,I15,Inventory!$A$3:$A$62,"Store C")</f>
        <v>67.5</v>
      </c>
      <c r="M15" s="30">
        <f t="shared" si="1"/>
        <v>330</v>
      </c>
    </row>
    <row r="16" spans="1:13" x14ac:dyDescent="0.35">
      <c r="A16" s="12" t="s">
        <v>45</v>
      </c>
      <c r="B16" s="11" t="s">
        <v>44</v>
      </c>
      <c r="C16" s="27">
        <f>SUMIFS(Inventory!$G$3:$G$62,Inventory!$B$3:$B$62,B16,Inventory!$A$3:$A$62,"Store A")</f>
        <v>28</v>
      </c>
      <c r="D16" s="27">
        <f>SUMIFS(Inventory!$G$3:$G$62,Inventory!$B$3:$B$62,B16,Inventory!$A$3:$A$62,"Store B")</f>
        <v>13</v>
      </c>
      <c r="E16" s="27">
        <f>SUMIFS(Inventory!$G$3:$G$62,Inventory!$B$3:$B$62,B16,Inventory!$A$3:$A$62,"Store C")</f>
        <v>10</v>
      </c>
      <c r="F16" s="28">
        <f t="shared" si="0"/>
        <v>51</v>
      </c>
      <c r="H16" s="12" t="s">
        <v>45</v>
      </c>
      <c r="I16" s="11" t="s">
        <v>44</v>
      </c>
      <c r="J16" s="26">
        <f>SUMIFS(Inventory!$H$3:$H$62,Inventory!$B$3:$B$62,I16,Inventory!$A$3:$A$62,"Store A")</f>
        <v>112</v>
      </c>
      <c r="K16" s="26">
        <f>SUMIFS(Inventory!$H$3:$H$62,Inventory!$B$3:$B$62,I16,Inventory!$A$3:$A$62,"Store B")</f>
        <v>52</v>
      </c>
      <c r="L16" s="26">
        <f>SUMIFS(Inventory!$H$3:$H$62,Inventory!$B$3:$B$62,I16,Inventory!$A$3:$A$62,"Store C")</f>
        <v>40</v>
      </c>
      <c r="M16" s="29">
        <f t="shared" si="1"/>
        <v>204</v>
      </c>
    </row>
    <row r="17" spans="1:13" x14ac:dyDescent="0.35">
      <c r="A17" s="9" t="s">
        <v>47</v>
      </c>
      <c r="B17" s="8" t="s">
        <v>46</v>
      </c>
      <c r="C17" s="23">
        <f>SUMIFS(Inventory!$G$3:$G$62,Inventory!$B$3:$B$62,B17,Inventory!$A$3:$A$62,"Store A")</f>
        <v>14</v>
      </c>
      <c r="D17" s="23">
        <f>SUMIFS(Inventory!$G$3:$G$62,Inventory!$B$3:$B$62,B17,Inventory!$A$3:$A$62,"Store B")</f>
        <v>25</v>
      </c>
      <c r="E17" s="23">
        <f>SUMIFS(Inventory!$G$3:$G$62,Inventory!$B$3:$B$62,B17,Inventory!$A$3:$A$62,"Store C")</f>
        <v>8</v>
      </c>
      <c r="F17" s="24">
        <f t="shared" si="0"/>
        <v>47</v>
      </c>
      <c r="H17" s="9" t="s">
        <v>47</v>
      </c>
      <c r="I17" s="8" t="s">
        <v>46</v>
      </c>
      <c r="J17" s="22">
        <f>SUMIFS(Inventory!$H$3:$H$62,Inventory!$B$3:$B$62,I17,Inventory!$A$3:$A$62,"Store A")</f>
        <v>98</v>
      </c>
      <c r="K17" s="22">
        <f>SUMIFS(Inventory!$H$3:$H$62,Inventory!$B$3:$B$62,I17,Inventory!$A$3:$A$62,"Store B")</f>
        <v>175</v>
      </c>
      <c r="L17" s="22">
        <f>SUMIFS(Inventory!$H$3:$H$62,Inventory!$B$3:$B$62,I17,Inventory!$A$3:$A$62,"Store C")</f>
        <v>56</v>
      </c>
      <c r="M17" s="30">
        <f t="shared" si="1"/>
        <v>329</v>
      </c>
    </row>
    <row r="18" spans="1:13" x14ac:dyDescent="0.35">
      <c r="A18" s="12" t="s">
        <v>49</v>
      </c>
      <c r="B18" s="11" t="s">
        <v>48</v>
      </c>
      <c r="C18" s="27">
        <f>SUMIFS(Inventory!$G$3:$G$62,Inventory!$B$3:$B$62,B18,Inventory!$A$3:$A$62,"Store A")</f>
        <v>18</v>
      </c>
      <c r="D18" s="27">
        <f>SUMIFS(Inventory!$G$3:$G$62,Inventory!$B$3:$B$62,B18,Inventory!$A$3:$A$62,"Store B")</f>
        <v>18</v>
      </c>
      <c r="E18" s="27">
        <f>SUMIFS(Inventory!$G$3:$G$62,Inventory!$B$3:$B$62,B18,Inventory!$A$3:$A$62,"Store C")</f>
        <v>16</v>
      </c>
      <c r="F18" s="28">
        <f t="shared" si="0"/>
        <v>52</v>
      </c>
      <c r="H18" s="12" t="s">
        <v>49</v>
      </c>
      <c r="I18" s="11" t="s">
        <v>48</v>
      </c>
      <c r="J18" s="26">
        <f>SUMIFS(Inventory!$H$3:$H$62,Inventory!$B$3:$B$62,I18,Inventory!$A$3:$A$62,"Store A")</f>
        <v>153</v>
      </c>
      <c r="K18" s="26">
        <f>SUMIFS(Inventory!$H$3:$H$62,Inventory!$B$3:$B$62,I18,Inventory!$A$3:$A$62,"Store B")</f>
        <v>153</v>
      </c>
      <c r="L18" s="26">
        <f>SUMIFS(Inventory!$H$3:$H$62,Inventory!$B$3:$B$62,I18,Inventory!$A$3:$A$62,"Store C")</f>
        <v>136</v>
      </c>
      <c r="M18" s="29">
        <f t="shared" si="1"/>
        <v>442</v>
      </c>
    </row>
    <row r="19" spans="1:13" x14ac:dyDescent="0.35">
      <c r="A19" s="9" t="s">
        <v>51</v>
      </c>
      <c r="B19" s="8" t="s">
        <v>50</v>
      </c>
      <c r="C19" s="23">
        <f>SUMIFS(Inventory!$G$3:$G$62,Inventory!$B$3:$B$62,B19,Inventory!$A$3:$A$62,"Store A")</f>
        <v>14</v>
      </c>
      <c r="D19" s="23">
        <f>SUMIFS(Inventory!$G$3:$G$62,Inventory!$B$3:$B$62,B19,Inventory!$A$3:$A$62,"Store B")</f>
        <v>14</v>
      </c>
      <c r="E19" s="23">
        <f>SUMIFS(Inventory!$G$3:$G$62,Inventory!$B$3:$B$62,B19,Inventory!$A$3:$A$62,"Store C")</f>
        <v>13</v>
      </c>
      <c r="F19" s="24">
        <f t="shared" si="0"/>
        <v>41</v>
      </c>
      <c r="H19" s="9" t="s">
        <v>51</v>
      </c>
      <c r="I19" s="8" t="s">
        <v>50</v>
      </c>
      <c r="J19" s="22">
        <f>SUMIFS(Inventory!$H$3:$H$62,Inventory!$B$3:$B$62,I19,Inventory!$A$3:$A$62,"Store A")</f>
        <v>182</v>
      </c>
      <c r="K19" s="22">
        <f>SUMIFS(Inventory!$H$3:$H$62,Inventory!$B$3:$B$62,I19,Inventory!$A$3:$A$62,"Store B")</f>
        <v>182</v>
      </c>
      <c r="L19" s="22">
        <f>SUMIFS(Inventory!$H$3:$H$62,Inventory!$B$3:$B$62,I19,Inventory!$A$3:$A$62,"Store C")</f>
        <v>169</v>
      </c>
      <c r="M19" s="30">
        <f t="shared" si="1"/>
        <v>533</v>
      </c>
    </row>
    <row r="20" spans="1:13" x14ac:dyDescent="0.35">
      <c r="A20" s="12" t="s">
        <v>53</v>
      </c>
      <c r="B20" s="11" t="s">
        <v>52</v>
      </c>
      <c r="C20" s="27">
        <f>SUMIFS(Inventory!$G$3:$G$62,Inventory!$B$3:$B$62,B20,Inventory!$A$3:$A$62,"Store A")</f>
        <v>12</v>
      </c>
      <c r="D20" s="27">
        <f>SUMIFS(Inventory!$G$3:$G$62,Inventory!$B$3:$B$62,B20,Inventory!$A$3:$A$62,"Store B")</f>
        <v>3</v>
      </c>
      <c r="E20" s="27">
        <f>SUMIFS(Inventory!$G$3:$G$62,Inventory!$B$3:$B$62,B20,Inventory!$A$3:$A$62,"Store C")</f>
        <v>6</v>
      </c>
      <c r="F20" s="28">
        <f t="shared" si="0"/>
        <v>21</v>
      </c>
      <c r="H20" s="12" t="s">
        <v>53</v>
      </c>
      <c r="I20" s="11" t="s">
        <v>52</v>
      </c>
      <c r="J20" s="26">
        <f>SUMIFS(Inventory!$H$3:$H$62,Inventory!$B$3:$B$62,I20,Inventory!$A$3:$A$62,"Store A")</f>
        <v>72</v>
      </c>
      <c r="K20" s="26">
        <f>SUMIFS(Inventory!$H$3:$H$62,Inventory!$B$3:$B$62,I20,Inventory!$A$3:$A$62,"Store B")</f>
        <v>18</v>
      </c>
      <c r="L20" s="26">
        <f>SUMIFS(Inventory!$H$3:$H$62,Inventory!$B$3:$B$62,I20,Inventory!$A$3:$A$62,"Store C")</f>
        <v>36</v>
      </c>
      <c r="M20" s="29">
        <f t="shared" si="1"/>
        <v>126</v>
      </c>
    </row>
    <row r="21" spans="1:13" x14ac:dyDescent="0.35">
      <c r="A21" s="9" t="s">
        <v>55</v>
      </c>
      <c r="B21" s="8" t="s">
        <v>54</v>
      </c>
      <c r="C21" s="23">
        <f>SUMIFS(Inventory!$G$3:$G$62,Inventory!$B$3:$B$62,B21,Inventory!$A$3:$A$62,"Store A")</f>
        <v>53</v>
      </c>
      <c r="D21" s="23">
        <f>SUMIFS(Inventory!$G$3:$G$62,Inventory!$B$3:$B$62,B21,Inventory!$A$3:$A$62,"Store B")</f>
        <v>28</v>
      </c>
      <c r="E21" s="23">
        <f>SUMIFS(Inventory!$G$3:$G$62,Inventory!$B$3:$B$62,B21,Inventory!$A$3:$A$62,"Store C")</f>
        <v>22</v>
      </c>
      <c r="F21" s="24">
        <f t="shared" si="0"/>
        <v>103</v>
      </c>
      <c r="H21" s="9" t="s">
        <v>55</v>
      </c>
      <c r="I21" s="8" t="s">
        <v>54</v>
      </c>
      <c r="J21" s="22">
        <f>SUMIFS(Inventory!$H$3:$H$62,Inventory!$B$3:$B$62,I21,Inventory!$A$3:$A$62,"Store A")</f>
        <v>291.5</v>
      </c>
      <c r="K21" s="22">
        <f>SUMIFS(Inventory!$H$3:$H$62,Inventory!$B$3:$B$62,I21,Inventory!$A$3:$A$62,"Store B")</f>
        <v>154</v>
      </c>
      <c r="L21" s="22">
        <f>SUMIFS(Inventory!$H$3:$H$62,Inventory!$B$3:$B$62,I21,Inventory!$A$3:$A$62,"Store C")</f>
        <v>121</v>
      </c>
      <c r="M21" s="30">
        <f t="shared" si="1"/>
        <v>566.5</v>
      </c>
    </row>
    <row r="22" spans="1:13" x14ac:dyDescent="0.35">
      <c r="A22" s="12" t="s">
        <v>57</v>
      </c>
      <c r="B22" s="11" t="s">
        <v>56</v>
      </c>
      <c r="C22" s="27">
        <f>SUMIFS(Inventory!$G$3:$G$62,Inventory!$B$3:$B$62,B22,Inventory!$A$3:$A$62,"Store A")</f>
        <v>14</v>
      </c>
      <c r="D22" s="27">
        <f>SUMIFS(Inventory!$G$3:$G$62,Inventory!$B$3:$B$62,B22,Inventory!$A$3:$A$62,"Store B")</f>
        <v>10</v>
      </c>
      <c r="E22" s="27">
        <f>SUMIFS(Inventory!$G$3:$G$62,Inventory!$B$3:$B$62,B22,Inventory!$A$3:$A$62,"Store C")</f>
        <v>3</v>
      </c>
      <c r="F22" s="28">
        <f t="shared" si="0"/>
        <v>27</v>
      </c>
      <c r="H22" s="12" t="s">
        <v>57</v>
      </c>
      <c r="I22" s="11" t="s">
        <v>56</v>
      </c>
      <c r="J22" s="26">
        <f>SUMIFS(Inventory!$H$3:$H$62,Inventory!$B$3:$B$62,I22,Inventory!$A$3:$A$62,"Store A")</f>
        <v>133</v>
      </c>
      <c r="K22" s="26">
        <f>SUMIFS(Inventory!$H$3:$H$62,Inventory!$B$3:$B$62,I22,Inventory!$A$3:$A$62,"Store B")</f>
        <v>95</v>
      </c>
      <c r="L22" s="26">
        <f>SUMIFS(Inventory!$H$3:$H$62,Inventory!$B$3:$B$62,I22,Inventory!$A$3:$A$62,"Store C")</f>
        <v>28.5</v>
      </c>
      <c r="M22" s="29">
        <f t="shared" si="1"/>
        <v>256.5</v>
      </c>
    </row>
    <row r="23" spans="1:13" x14ac:dyDescent="0.35">
      <c r="A23" s="9" t="s">
        <v>59</v>
      </c>
      <c r="B23" s="8" t="s">
        <v>58</v>
      </c>
      <c r="C23" s="23">
        <f>SUMIFS(Inventory!$G$3:$G$62,Inventory!$B$3:$B$62,B23,Inventory!$A$3:$A$62,"Store A")</f>
        <v>18</v>
      </c>
      <c r="D23" s="23">
        <f>SUMIFS(Inventory!$G$3:$G$62,Inventory!$B$3:$B$62,B23,Inventory!$A$3:$A$62,"Store B")</f>
        <v>14</v>
      </c>
      <c r="E23" s="23">
        <f>SUMIFS(Inventory!$G$3:$G$62,Inventory!$B$3:$B$62,B23,Inventory!$A$3:$A$62,"Store C")</f>
        <v>6</v>
      </c>
      <c r="F23" s="24">
        <f t="shared" si="0"/>
        <v>38</v>
      </c>
      <c r="H23" s="9" t="s">
        <v>59</v>
      </c>
      <c r="I23" s="8" t="s">
        <v>58</v>
      </c>
      <c r="J23" s="22">
        <f>SUMIFS(Inventory!$H$3:$H$62,Inventory!$B$3:$B$62,I23,Inventory!$A$3:$A$62,"Store A")</f>
        <v>216</v>
      </c>
      <c r="K23" s="22">
        <f>SUMIFS(Inventory!$H$3:$H$62,Inventory!$B$3:$B$62,I23,Inventory!$A$3:$A$62,"Store B")</f>
        <v>168</v>
      </c>
      <c r="L23" s="22">
        <f>SUMIFS(Inventory!$H$3:$H$62,Inventory!$B$3:$B$62,I23,Inventory!$A$3:$A$62,"Store C")</f>
        <v>72</v>
      </c>
      <c r="M23" s="30">
        <f t="shared" si="1"/>
        <v>456</v>
      </c>
    </row>
    <row r="24" spans="1:13" x14ac:dyDescent="0.35">
      <c r="A24" s="3" t="s">
        <v>161</v>
      </c>
      <c r="B24" s="3"/>
      <c r="C24" s="31">
        <f>SUM(C4:C23)</f>
        <v>536</v>
      </c>
      <c r="D24" s="31">
        <f>SUM(D4:D23)</f>
        <v>379</v>
      </c>
      <c r="E24" s="31">
        <f>SUM(E4:E23)</f>
        <v>349</v>
      </c>
      <c r="F24" s="31">
        <f>SUM(F4:F23)</f>
        <v>1264</v>
      </c>
      <c r="H24" s="2" t="s">
        <v>161</v>
      </c>
      <c r="I24" s="2"/>
      <c r="J24" s="32">
        <f>SUM(J4:J23)</f>
        <v>3872</v>
      </c>
      <c r="K24" s="32">
        <f>SUM(K4:K23)</f>
        <v>2739</v>
      </c>
      <c r="L24" s="32">
        <f>SUM(L4:L23)</f>
        <v>2819.5</v>
      </c>
      <c r="M24" s="32">
        <f>SUM(M4:M23)</f>
        <v>9430.5</v>
      </c>
    </row>
    <row r="27" spans="1:13" x14ac:dyDescent="0.35">
      <c r="A27" s="4" t="s">
        <v>162</v>
      </c>
      <c r="B27" s="4"/>
      <c r="C27" s="4"/>
      <c r="D27" s="4"/>
      <c r="E27" s="4"/>
      <c r="F27" s="4"/>
    </row>
    <row r="28" spans="1:13" x14ac:dyDescent="0.35">
      <c r="A28" s="7" t="s">
        <v>163</v>
      </c>
      <c r="B28" s="7" t="s">
        <v>164</v>
      </c>
      <c r="C28" s="7" t="s">
        <v>165</v>
      </c>
      <c r="D28" s="7" t="s">
        <v>166</v>
      </c>
      <c r="E28" s="7" t="s">
        <v>167</v>
      </c>
      <c r="F28" s="7" t="s">
        <v>168</v>
      </c>
    </row>
    <row r="29" spans="1:13" x14ac:dyDescent="0.35">
      <c r="A29" s="33" t="s">
        <v>68</v>
      </c>
      <c r="B29" s="34">
        <f>SUMIF(Inventory!$A$3:$A$62,A29,Inventory!$G$3:$G$62)</f>
        <v>536</v>
      </c>
      <c r="C29" s="35">
        <f>SUMIF(Inventory!$A$3:$A$62,A29,Inventory!$H$3:$H$62)</f>
        <v>3872</v>
      </c>
      <c r="D29" s="34">
        <f>COUNTIFS(Inventory!$A$3:$A$62,A29,Inventory!$I$3:$I$62,"Yes")</f>
        <v>4</v>
      </c>
      <c r="E29" s="36">
        <f>D29/20</f>
        <v>0.2</v>
      </c>
      <c r="F29" s="34" t="str">
        <f>IF(E29&lt;0.3,"Good",IF(E29&lt;0.6,"Needs Attention","Critical"))</f>
        <v>Good</v>
      </c>
    </row>
    <row r="30" spans="1:13" x14ac:dyDescent="0.35">
      <c r="A30" s="37" t="s">
        <v>71</v>
      </c>
      <c r="B30" s="38">
        <f>SUMIF(Inventory!$A$3:$A$62,A30,Inventory!$G$3:$G$62)</f>
        <v>379</v>
      </c>
      <c r="C30" s="39">
        <f>SUMIF(Inventory!$A$3:$A$62,A30,Inventory!$H$3:$H$62)</f>
        <v>2739</v>
      </c>
      <c r="D30" s="38">
        <f>COUNTIFS(Inventory!$A$3:$A$62,A30,Inventory!$I$3:$I$62,"Yes")</f>
        <v>13</v>
      </c>
      <c r="E30" s="40">
        <f>D30/20</f>
        <v>0.65</v>
      </c>
      <c r="F30" s="38" t="str">
        <f>IF(E30&lt;0.3,"Good",IF(E30&lt;0.6,"Needs Attention","Critical"))</f>
        <v>Critical</v>
      </c>
    </row>
    <row r="31" spans="1:13" x14ac:dyDescent="0.35">
      <c r="A31" s="33" t="s">
        <v>73</v>
      </c>
      <c r="B31" s="34">
        <f>SUMIF(Inventory!$A$3:$A$62,A31,Inventory!$G$3:$G$62)</f>
        <v>349</v>
      </c>
      <c r="C31" s="35">
        <f>SUMIF(Inventory!$A$3:$A$62,A31,Inventory!$H$3:$H$62)</f>
        <v>2819.5</v>
      </c>
      <c r="D31" s="34">
        <f>COUNTIFS(Inventory!$A$3:$A$62,A31,Inventory!$I$3:$I$62,"Yes")</f>
        <v>14</v>
      </c>
      <c r="E31" s="36">
        <f>D31/20</f>
        <v>0.7</v>
      </c>
      <c r="F31" s="34" t="str">
        <f>IF(E31&lt;0.3,"Good",IF(E31&lt;0.6,"Needs Attention","Critical"))</f>
        <v>Critical</v>
      </c>
    </row>
  </sheetData>
  <mergeCells count="6">
    <mergeCell ref="A27:F27"/>
    <mergeCell ref="A1:M1"/>
    <mergeCell ref="A2:F2"/>
    <mergeCell ref="H2:M2"/>
    <mergeCell ref="A24:B24"/>
    <mergeCell ref="H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zoomScaleNormal="100" workbookViewId="0">
      <pane ySplit="5" topLeftCell="A6" activePane="bottomLeft" state="frozen"/>
      <selection pane="bottomLeft" activeCell="C15" sqref="C15"/>
    </sheetView>
  </sheetViews>
  <sheetFormatPr defaultColWidth="8.6328125" defaultRowHeight="14.5" x14ac:dyDescent="0.35"/>
  <cols>
    <col min="1" max="1" width="24" customWidth="1"/>
    <col min="2" max="2" width="12" customWidth="1"/>
    <col min="3" max="3" width="28" customWidth="1"/>
    <col min="4" max="6" width="20" customWidth="1"/>
    <col min="7" max="7" width="16" customWidth="1"/>
  </cols>
  <sheetData>
    <row r="1" spans="1:7" ht="31.5" customHeight="1" x14ac:dyDescent="0.35">
      <c r="A1" s="1" t="s">
        <v>179</v>
      </c>
      <c r="B1" s="1"/>
      <c r="C1" s="1"/>
      <c r="D1" s="1"/>
      <c r="E1" s="1"/>
      <c r="F1" s="1"/>
      <c r="G1" s="1"/>
    </row>
    <row r="2" spans="1:7" x14ac:dyDescent="0.35">
      <c r="A2" s="41" t="s">
        <v>169</v>
      </c>
      <c r="B2" s="42" t="s">
        <v>170</v>
      </c>
    </row>
    <row r="3" spans="1:7" x14ac:dyDescent="0.35">
      <c r="A3" s="41" t="s">
        <v>171</v>
      </c>
      <c r="B3" s="50">
        <v>45814</v>
      </c>
      <c r="C3" s="43" t="s">
        <v>172</v>
      </c>
    </row>
    <row r="5" spans="1:7" x14ac:dyDescent="0.35">
      <c r="A5" s="44" t="s">
        <v>5</v>
      </c>
      <c r="B5" s="44" t="s">
        <v>0</v>
      </c>
      <c r="C5" s="44" t="s">
        <v>1</v>
      </c>
      <c r="D5" s="44" t="s">
        <v>173</v>
      </c>
      <c r="E5" s="44" t="s">
        <v>174</v>
      </c>
      <c r="F5" s="44" t="s">
        <v>175</v>
      </c>
      <c r="G5" s="44" t="s">
        <v>176</v>
      </c>
    </row>
    <row r="6" spans="1:7" x14ac:dyDescent="0.35">
      <c r="A6" s="12" t="s">
        <v>9</v>
      </c>
      <c r="B6" s="11" t="s">
        <v>6</v>
      </c>
      <c r="C6" s="25" t="str">
        <f>VLOOKUP(B6,Products!$A$3:$B$22,2,0)</f>
        <v>Thermal Coffee Mug</v>
      </c>
      <c r="D6" s="45">
        <f>IF($B$2&lt;&gt;"Yes",0,IFERROR(SUMIFS(Inventory!$F$3:$F$62,Inventory!$B$3:$B$62,$B6,Inventory!$A$3:$A$62,LEFT(D$5,FIND(" reorder qty",D$5)-1),Inventory!$I$3:$I$62,"Yes",Inventory!$J$3:$J$62,$B$3)-SUMIFS(Inventory!$G$3:$G$62,Inventory!$B$3:$B$62,$B6,Inventory!$A$3:$A$62,LEFT(D$5,FIND(" reorder qty",D$5)-1),Inventory!$I$3:$I$62,"Yes",Inventory!$J$3:$J$62,$B$3),0))</f>
        <v>0</v>
      </c>
      <c r="E6" s="45">
        <f>IF($B$2&lt;&gt;"Yes",0,IFERROR(SUMIFS(Inventory!$F$3:$F$62,Inventory!$B$3:$B$62,$B6,Inventory!$A$3:$A$62,LEFT(E$5,FIND(" reorder qty",E$5)-1),Inventory!$I$3:$I$62,"Yes",Inventory!$J$3:$J$62,$B$3)-SUMIFS(Inventory!$G$3:$G$62,Inventory!$B$3:$B$62,$B6,Inventory!$A$3:$A$62,LEFT(E$5,FIND(" reorder qty",E$5)-1),Inventory!$I$3:$I$62,"Yes",Inventory!$J$3:$J$62,$B$3),0))</f>
        <v>0</v>
      </c>
      <c r="F6" s="45">
        <f>IF($B$2&lt;&gt;"Yes",0,IFERROR(SUMIFS(Inventory!$F$3:$F$62,Inventory!$B$3:$B$62,$B6,Inventory!$A$3:$A$62,LEFT(F$5,FIND(" reorder qty",F$5)-1),Inventory!$I$3:$I$62,"Yes",Inventory!$J$3:$J$62,$B$3)-SUMIFS(Inventory!$G$3:$G$62,Inventory!$B$3:$B$62,$B6,Inventory!$A$3:$A$62,LEFT(F$5,FIND(" reorder qty",F$5)-1),Inventory!$I$3:$I$62,"Yes",Inventory!$J$3:$J$62,$B$3),0))</f>
        <v>0</v>
      </c>
      <c r="G6" s="46">
        <f t="shared" ref="G6:G25" si="0">SUM(D6:F6)</f>
        <v>0</v>
      </c>
    </row>
    <row r="7" spans="1:7" x14ac:dyDescent="0.35">
      <c r="A7" s="9" t="s">
        <v>13</v>
      </c>
      <c r="B7" s="8" t="s">
        <v>10</v>
      </c>
      <c r="C7" s="21" t="str">
        <f>VLOOKUP(B7,Products!$A$3:$B$22,2,0)</f>
        <v>Wireless Earbuds</v>
      </c>
      <c r="D7" s="45">
        <f>IF($B$2&lt;&gt;"Yes",0,IFERROR(SUMIFS(Inventory!$F$3:$F$62,Inventory!$B$3:$B$62,$B7,Inventory!$A$3:$A$62,LEFT(D$5,FIND(" reorder qty",D$5)-1),Inventory!$I$3:$I$62,"Yes",Inventory!$J$3:$J$62,$B$3)-SUMIFS(Inventory!$G$3:$G$62,Inventory!$B$3:$B$62,$B7,Inventory!$A$3:$A$62,LEFT(D$5,FIND(" reorder qty",D$5)-1),Inventory!$I$3:$I$62,"Yes",Inventory!$J$3:$J$62,$B$3),0))</f>
        <v>0</v>
      </c>
      <c r="E7" s="45">
        <f>IF($B$2&lt;&gt;"Yes",0,IFERROR(SUMIFS(Inventory!$F$3:$F$62,Inventory!$B$3:$B$62,$B7,Inventory!$A$3:$A$62,LEFT(E$5,FIND(" reorder qty",E$5)-1),Inventory!$I$3:$I$62,"Yes",Inventory!$J$3:$J$62,$B$3)-SUMIFS(Inventory!$G$3:$G$62,Inventory!$B$3:$B$62,$B7,Inventory!$A$3:$A$62,LEFT(E$5,FIND(" reorder qty",E$5)-1),Inventory!$I$3:$I$62,"Yes",Inventory!$J$3:$J$62,$B$3),0))</f>
        <v>0</v>
      </c>
      <c r="F7" s="45">
        <f>IF($B$2&lt;&gt;"Yes",0,IFERROR(SUMIFS(Inventory!$F$3:$F$62,Inventory!$B$3:$B$62,$B7,Inventory!$A$3:$A$62,LEFT(F$5,FIND(" reorder qty",F$5)-1),Inventory!$I$3:$I$62,"Yes",Inventory!$J$3:$J$62,$B$3)-SUMIFS(Inventory!$G$3:$G$62,Inventory!$B$3:$B$62,$B7,Inventory!$A$3:$A$62,LEFT(F$5,FIND(" reorder qty",F$5)-1),Inventory!$I$3:$I$62,"Yes",Inventory!$J$3:$J$62,$B$3),0))</f>
        <v>0</v>
      </c>
      <c r="G7" s="47">
        <f t="shared" si="0"/>
        <v>0</v>
      </c>
    </row>
    <row r="8" spans="1:7" x14ac:dyDescent="0.35">
      <c r="A8" s="12" t="s">
        <v>17</v>
      </c>
      <c r="B8" s="11" t="s">
        <v>14</v>
      </c>
      <c r="C8" s="25" t="str">
        <f>VLOOKUP(B8,Products!$A$3:$B$22,2,0)</f>
        <v>Organic Lip Balm Set</v>
      </c>
      <c r="D8" s="45">
        <f ca="1">IF($B$2&lt;&gt;"Yes",0,IFERROR(SUMIFS(Inventory!$F$3:$F$62,Inventory!$B$3:$B$62,$B8,Inventory!$A$3:$A$62,LEFT(D$5,FIND(" reorder qty",D$5)-1),Inventory!$I$3:$I$62,"Yes",Inventory!$J$3:$J$62,$B$3)-SUMIFS(Inventory!$G$3:$G$62,Inventory!$B$3:$B$62,$B8,Inventory!$A$3:$A$62,LEFT(D$5,FIND(" reorder qty",D$5)-1),Inventory!$I$3:$I$62,"Yes",Inventory!$J$3:$J$62,$B$3),0))</f>
        <v>2</v>
      </c>
      <c r="E8" s="45">
        <f>IF($B$2&lt;&gt;"Yes",0,IFERROR(SUMIFS(Inventory!$F$3:$F$62,Inventory!$B$3:$B$62,$B8,Inventory!$A$3:$A$62,LEFT(E$5,FIND(" reorder qty",E$5)-1),Inventory!$I$3:$I$62,"Yes",Inventory!$J$3:$J$62,$B$3)-SUMIFS(Inventory!$G$3:$G$62,Inventory!$B$3:$B$62,$B8,Inventory!$A$3:$A$62,LEFT(E$5,FIND(" reorder qty",E$5)-1),Inventory!$I$3:$I$62,"Yes",Inventory!$J$3:$J$62,$B$3),0))</f>
        <v>0</v>
      </c>
      <c r="F8" s="45">
        <f ca="1">IF($B$2&lt;&gt;"Yes",0,IFERROR(SUMIFS(Inventory!$F$3:$F$62,Inventory!$B$3:$B$62,$B8,Inventory!$A$3:$A$62,LEFT(F$5,FIND(" reorder qty",F$5)-1),Inventory!$I$3:$I$62,"Yes",Inventory!$J$3:$J$62,$B$3)-SUMIFS(Inventory!$G$3:$G$62,Inventory!$B$3:$B$62,$B8,Inventory!$A$3:$A$62,LEFT(F$5,FIND(" reorder qty",F$5)-1),Inventory!$I$3:$I$62,"Yes",Inventory!$J$3:$J$62,$B$3),0))</f>
        <v>17</v>
      </c>
      <c r="G8" s="46">
        <f t="shared" ca="1" si="0"/>
        <v>19</v>
      </c>
    </row>
    <row r="9" spans="1:7" x14ac:dyDescent="0.35">
      <c r="A9" s="9" t="s">
        <v>21</v>
      </c>
      <c r="B9" s="8" t="s">
        <v>18</v>
      </c>
      <c r="C9" s="21" t="str">
        <f>VLOOKUP(B9,Products!$A$3:$B$22,2,0)</f>
        <v>Foldable Tote Bag</v>
      </c>
      <c r="D9" s="45">
        <f>IF($B$2&lt;&gt;"Yes",0,IFERROR(SUMIFS(Inventory!$F$3:$F$62,Inventory!$B$3:$B$62,$B9,Inventory!$A$3:$A$62,LEFT(D$5,FIND(" reorder qty",D$5)-1),Inventory!$I$3:$I$62,"Yes",Inventory!$J$3:$J$62,$B$3)-SUMIFS(Inventory!$G$3:$G$62,Inventory!$B$3:$B$62,$B9,Inventory!$A$3:$A$62,LEFT(D$5,FIND(" reorder qty",D$5)-1),Inventory!$I$3:$I$62,"Yes",Inventory!$J$3:$J$62,$B$3),0))</f>
        <v>0</v>
      </c>
      <c r="E9" s="45">
        <f ca="1">IF($B$2&lt;&gt;"Yes",0,IFERROR(SUMIFS(Inventory!$F$3:$F$62,Inventory!$B$3:$B$62,$B9,Inventory!$A$3:$A$62,LEFT(E$5,FIND(" reorder qty",E$5)-1),Inventory!$I$3:$I$62,"Yes",Inventory!$J$3:$J$62,$B$3)-SUMIFS(Inventory!$G$3:$G$62,Inventory!$B$3:$B$62,$B9,Inventory!$A$3:$A$62,LEFT(E$5,FIND(" reorder qty",E$5)-1),Inventory!$I$3:$I$62,"Yes",Inventory!$J$3:$J$62,$B$3),0))</f>
        <v>16</v>
      </c>
      <c r="F9" s="45">
        <f ca="1">IF($B$2&lt;&gt;"Yes",0,IFERROR(SUMIFS(Inventory!$F$3:$F$62,Inventory!$B$3:$B$62,$B9,Inventory!$A$3:$A$62,LEFT(F$5,FIND(" reorder qty",F$5)-1),Inventory!$I$3:$I$62,"Yes",Inventory!$J$3:$J$62,$B$3)-SUMIFS(Inventory!$G$3:$G$62,Inventory!$B$3:$B$62,$B9,Inventory!$A$3:$A$62,LEFT(F$5,FIND(" reorder qty",F$5)-1),Inventory!$I$3:$I$62,"Yes",Inventory!$J$3:$J$62,$B$3),0))</f>
        <v>1</v>
      </c>
      <c r="G9" s="47">
        <f t="shared" ca="1" si="0"/>
        <v>17</v>
      </c>
    </row>
    <row r="10" spans="1:7" x14ac:dyDescent="0.35">
      <c r="A10" s="12" t="s">
        <v>24</v>
      </c>
      <c r="B10" s="11" t="s">
        <v>22</v>
      </c>
      <c r="C10" s="25" t="str">
        <f>VLOOKUP(B10,Products!$A$3:$B$22,2,0)</f>
        <v>Mini Succulent Pot</v>
      </c>
      <c r="D10" s="45">
        <f>IF($B$2&lt;&gt;"Yes",0,IFERROR(SUMIFS(Inventory!$F$3:$F$62,Inventory!$B$3:$B$62,$B10,Inventory!$A$3:$A$62,LEFT(D$5,FIND(" reorder qty",D$5)-1),Inventory!$I$3:$I$62,"Yes",Inventory!$J$3:$J$62,$B$3)-SUMIFS(Inventory!$G$3:$G$62,Inventory!$B$3:$B$62,$B10,Inventory!$A$3:$A$62,LEFT(D$5,FIND(" reorder qty",D$5)-1),Inventory!$I$3:$I$62,"Yes",Inventory!$J$3:$J$62,$B$3),0))</f>
        <v>0</v>
      </c>
      <c r="E10" s="45">
        <f>IF($B$2&lt;&gt;"Yes",0,IFERROR(SUMIFS(Inventory!$F$3:$F$62,Inventory!$B$3:$B$62,$B10,Inventory!$A$3:$A$62,LEFT(E$5,FIND(" reorder qty",E$5)-1),Inventory!$I$3:$I$62,"Yes",Inventory!$J$3:$J$62,$B$3)-SUMIFS(Inventory!$G$3:$G$62,Inventory!$B$3:$B$62,$B10,Inventory!$A$3:$A$62,LEFT(E$5,FIND(" reorder qty",E$5)-1),Inventory!$I$3:$I$62,"Yes",Inventory!$J$3:$J$62,$B$3),0))</f>
        <v>0</v>
      </c>
      <c r="F10" s="45">
        <f>IF($B$2&lt;&gt;"Yes",0,IFERROR(SUMIFS(Inventory!$F$3:$F$62,Inventory!$B$3:$B$62,$B10,Inventory!$A$3:$A$62,LEFT(F$5,FIND(" reorder qty",F$5)-1),Inventory!$I$3:$I$62,"Yes",Inventory!$J$3:$J$62,$B$3)-SUMIFS(Inventory!$G$3:$G$62,Inventory!$B$3:$B$62,$B10,Inventory!$A$3:$A$62,LEFT(F$5,FIND(" reorder qty",F$5)-1),Inventory!$I$3:$I$62,"Yes",Inventory!$J$3:$J$62,$B$3),0))</f>
        <v>0</v>
      </c>
      <c r="G10" s="46">
        <f t="shared" si="0"/>
        <v>0</v>
      </c>
    </row>
    <row r="11" spans="1:7" x14ac:dyDescent="0.35">
      <c r="A11" s="9" t="s">
        <v>28</v>
      </c>
      <c r="B11" s="8" t="s">
        <v>25</v>
      </c>
      <c r="C11" s="21" t="str">
        <f>VLOOKUP(B11,Products!$A$3:$B$22,2,0)</f>
        <v>Puzzle Notebook</v>
      </c>
      <c r="D11" s="45">
        <f>IF($B$2&lt;&gt;"Yes",0,IFERROR(SUMIFS(Inventory!$F$3:$F$62,Inventory!$B$3:$B$62,$B11,Inventory!$A$3:$A$62,LEFT(D$5,FIND(" reorder qty",D$5)-1),Inventory!$I$3:$I$62,"Yes",Inventory!$J$3:$J$62,$B$3)-SUMIFS(Inventory!$G$3:$G$62,Inventory!$B$3:$B$62,$B11,Inventory!$A$3:$A$62,LEFT(D$5,FIND(" reorder qty",D$5)-1),Inventory!$I$3:$I$62,"Yes",Inventory!$J$3:$J$62,$B$3),0))</f>
        <v>0</v>
      </c>
      <c r="E11" s="45">
        <f>IF($B$2&lt;&gt;"Yes",0,IFERROR(SUMIFS(Inventory!$F$3:$F$62,Inventory!$B$3:$B$62,$B11,Inventory!$A$3:$A$62,LEFT(E$5,FIND(" reorder qty",E$5)-1),Inventory!$I$3:$I$62,"Yes",Inventory!$J$3:$J$62,$B$3)-SUMIFS(Inventory!$G$3:$G$62,Inventory!$B$3:$B$62,$B11,Inventory!$A$3:$A$62,LEFT(E$5,FIND(" reorder qty",E$5)-1),Inventory!$I$3:$I$62,"Yes",Inventory!$J$3:$J$62,$B$3),0))</f>
        <v>0</v>
      </c>
      <c r="F11" s="45">
        <f ca="1">IF($B$2&lt;&gt;"Yes",0,IFERROR(SUMIFS(Inventory!$F$3:$F$62,Inventory!$B$3:$B$62,$B11,Inventory!$A$3:$A$62,LEFT(F$5,FIND(" reorder qty",F$5)-1),Inventory!$I$3:$I$62,"Yes",Inventory!$J$3:$J$62,$B$3)-SUMIFS(Inventory!$G$3:$G$62,Inventory!$B$3:$B$62,$B11,Inventory!$A$3:$A$62,LEFT(F$5,FIND(" reorder qty",F$5)-1),Inventory!$I$3:$I$62,"Yes",Inventory!$J$3:$J$62,$B$3),0))</f>
        <v>2</v>
      </c>
      <c r="G11" s="47">
        <f t="shared" ca="1" si="0"/>
        <v>2</v>
      </c>
    </row>
    <row r="12" spans="1:7" x14ac:dyDescent="0.35">
      <c r="A12" s="12" t="s">
        <v>32</v>
      </c>
      <c r="B12" s="11" t="s">
        <v>29</v>
      </c>
      <c r="C12" s="25" t="str">
        <f>VLOOKUP(B12,Products!$A$3:$B$22,2,0)</f>
        <v>Protein Snack Bar</v>
      </c>
      <c r="D12" s="45">
        <f ca="1">IF($B$2&lt;&gt;"Yes",0,IFERROR(SUMIFS(Inventory!$F$3:$F$62,Inventory!$B$3:$B$62,$B12,Inventory!$A$3:$A$62,LEFT(D$5,FIND(" reorder qty",D$5)-1),Inventory!$I$3:$I$62,"Yes",Inventory!$J$3:$J$62,$B$3)-SUMIFS(Inventory!$G$3:$G$62,Inventory!$B$3:$B$62,$B12,Inventory!$A$3:$A$62,LEFT(D$5,FIND(" reorder qty",D$5)-1),Inventory!$I$3:$I$62,"Yes",Inventory!$J$3:$J$62,$B$3),0))</f>
        <v>4</v>
      </c>
      <c r="E12" s="45">
        <f ca="1">IF($B$2&lt;&gt;"Yes",0,IFERROR(SUMIFS(Inventory!$F$3:$F$62,Inventory!$B$3:$B$62,$B12,Inventory!$A$3:$A$62,LEFT(E$5,FIND(" reorder qty",E$5)-1),Inventory!$I$3:$I$62,"Yes",Inventory!$J$3:$J$62,$B$3)-SUMIFS(Inventory!$G$3:$G$62,Inventory!$B$3:$B$62,$B12,Inventory!$A$3:$A$62,LEFT(E$5,FIND(" reorder qty",E$5)-1),Inventory!$I$3:$I$62,"Yes",Inventory!$J$3:$J$62,$B$3),0))</f>
        <v>35</v>
      </c>
      <c r="F12" s="45">
        <f ca="1">IF($B$2&lt;&gt;"Yes",0,IFERROR(SUMIFS(Inventory!$F$3:$F$62,Inventory!$B$3:$B$62,$B12,Inventory!$A$3:$A$62,LEFT(F$5,FIND(" reorder qty",F$5)-1),Inventory!$I$3:$I$62,"Yes",Inventory!$J$3:$J$62,$B$3)-SUMIFS(Inventory!$G$3:$G$62,Inventory!$B$3:$B$62,$B12,Inventory!$A$3:$A$62,LEFT(F$5,FIND(" reorder qty",F$5)-1),Inventory!$I$3:$I$62,"Yes",Inventory!$J$3:$J$62,$B$3),0))</f>
        <v>38</v>
      </c>
      <c r="G12" s="46">
        <f t="shared" ca="1" si="0"/>
        <v>77</v>
      </c>
    </row>
    <row r="13" spans="1:7" x14ac:dyDescent="0.35">
      <c r="A13" s="9" t="s">
        <v>35</v>
      </c>
      <c r="B13" s="8" t="s">
        <v>33</v>
      </c>
      <c r="C13" s="21" t="str">
        <f>VLOOKUP(B13,Products!$A$3:$B$22,2,0)</f>
        <v>Bamboo Toothbrush Pack</v>
      </c>
      <c r="D13" s="45">
        <f>IF($B$2&lt;&gt;"Yes",0,IFERROR(SUMIFS(Inventory!$F$3:$F$62,Inventory!$B$3:$B$62,$B13,Inventory!$A$3:$A$62,LEFT(D$5,FIND(" reorder qty",D$5)-1),Inventory!$I$3:$I$62,"Yes",Inventory!$J$3:$J$62,$B$3)-SUMIFS(Inventory!$G$3:$G$62,Inventory!$B$3:$B$62,$B13,Inventory!$A$3:$A$62,LEFT(D$5,FIND(" reorder qty",D$5)-1),Inventory!$I$3:$I$62,"Yes",Inventory!$J$3:$J$62,$B$3),0))</f>
        <v>0</v>
      </c>
      <c r="E13" s="45">
        <f ca="1">IF($B$2&lt;&gt;"Yes",0,IFERROR(SUMIFS(Inventory!$F$3:$F$62,Inventory!$B$3:$B$62,$B13,Inventory!$A$3:$A$62,LEFT(E$5,FIND(" reorder qty",E$5)-1),Inventory!$I$3:$I$62,"Yes",Inventory!$J$3:$J$62,$B$3)-SUMIFS(Inventory!$G$3:$G$62,Inventory!$B$3:$B$62,$B13,Inventory!$A$3:$A$62,LEFT(E$5,FIND(" reorder qty",E$5)-1),Inventory!$I$3:$I$62,"Yes",Inventory!$J$3:$J$62,$B$3),0))</f>
        <v>9</v>
      </c>
      <c r="F13" s="45">
        <f ca="1">IF($B$2&lt;&gt;"Yes",0,IFERROR(SUMIFS(Inventory!$F$3:$F$62,Inventory!$B$3:$B$62,$B13,Inventory!$A$3:$A$62,LEFT(F$5,FIND(" reorder qty",F$5)-1),Inventory!$I$3:$I$62,"Yes",Inventory!$J$3:$J$62,$B$3)-SUMIFS(Inventory!$G$3:$G$62,Inventory!$B$3:$B$62,$B13,Inventory!$A$3:$A$62,LEFT(F$5,FIND(" reorder qty",F$5)-1),Inventory!$I$3:$I$62,"Yes",Inventory!$J$3:$J$62,$B$3),0))</f>
        <v>0</v>
      </c>
      <c r="G13" s="47">
        <f t="shared" ca="1" si="0"/>
        <v>9</v>
      </c>
    </row>
    <row r="14" spans="1:7" x14ac:dyDescent="0.35">
      <c r="A14" s="12" t="s">
        <v>13</v>
      </c>
      <c r="B14" s="11" t="s">
        <v>36</v>
      </c>
      <c r="C14" s="25" t="str">
        <f>VLOOKUP(B14,Products!$A$3:$B$22,2,0)</f>
        <v>LED Book Light</v>
      </c>
      <c r="D14" s="45">
        <f>IF($B$2&lt;&gt;"Yes",0,IFERROR(SUMIFS(Inventory!$F$3:$F$62,Inventory!$B$3:$B$62,$B14,Inventory!$A$3:$A$62,LEFT(D$5,FIND(" reorder qty",D$5)-1),Inventory!$I$3:$I$62,"Yes",Inventory!$J$3:$J$62,$B$3)-SUMIFS(Inventory!$G$3:$G$62,Inventory!$B$3:$B$62,$B14,Inventory!$A$3:$A$62,LEFT(D$5,FIND(" reorder qty",D$5)-1),Inventory!$I$3:$I$62,"Yes",Inventory!$J$3:$J$62,$B$3),0))</f>
        <v>0</v>
      </c>
      <c r="E14" s="45">
        <f ca="1">IF($B$2&lt;&gt;"Yes",0,IFERROR(SUMIFS(Inventory!$F$3:$F$62,Inventory!$B$3:$B$62,$B14,Inventory!$A$3:$A$62,LEFT(E$5,FIND(" reorder qty",E$5)-1),Inventory!$I$3:$I$62,"Yes",Inventory!$J$3:$J$62,$B$3)-SUMIFS(Inventory!$G$3:$G$62,Inventory!$B$3:$B$62,$B14,Inventory!$A$3:$A$62,LEFT(E$5,FIND(" reorder qty",E$5)-1),Inventory!$I$3:$I$62,"Yes",Inventory!$J$3:$J$62,$B$3),0))</f>
        <v>6</v>
      </c>
      <c r="F14" s="45">
        <f>IF($B$2&lt;&gt;"Yes",0,IFERROR(SUMIFS(Inventory!$F$3:$F$62,Inventory!$B$3:$B$62,$B14,Inventory!$A$3:$A$62,LEFT(F$5,FIND(" reorder qty",F$5)-1),Inventory!$I$3:$I$62,"Yes",Inventory!$J$3:$J$62,$B$3)-SUMIFS(Inventory!$G$3:$G$62,Inventory!$B$3:$B$62,$B14,Inventory!$A$3:$A$62,LEFT(F$5,FIND(" reorder qty",F$5)-1),Inventory!$I$3:$I$62,"Yes",Inventory!$J$3:$J$62,$B$3),0))</f>
        <v>0</v>
      </c>
      <c r="G14" s="46">
        <f t="shared" ca="1" si="0"/>
        <v>6</v>
      </c>
    </row>
    <row r="15" spans="1:7" x14ac:dyDescent="0.35">
      <c r="A15" s="9" t="s">
        <v>21</v>
      </c>
      <c r="B15" s="8" t="s">
        <v>38</v>
      </c>
      <c r="C15" s="21" t="str">
        <f>VLOOKUP(B15,Products!$A$3:$B$22,2,0)</f>
        <v>Canvas Zipper Pouch</v>
      </c>
      <c r="D15" s="45">
        <f>IF($B$2&lt;&gt;"Yes",0,IFERROR(SUMIFS(Inventory!$F$3:$F$62,Inventory!$B$3:$B$62,$B15,Inventory!$A$3:$A$62,LEFT(D$5,FIND(" reorder qty",D$5)-1),Inventory!$I$3:$I$62,"Yes",Inventory!$J$3:$J$62,$B$3)-SUMIFS(Inventory!$G$3:$G$62,Inventory!$B$3:$B$62,$B15,Inventory!$A$3:$A$62,LEFT(D$5,FIND(" reorder qty",D$5)-1),Inventory!$I$3:$I$62,"Yes",Inventory!$J$3:$J$62,$B$3),0))</f>
        <v>0</v>
      </c>
      <c r="E15" s="45">
        <f ca="1">IF($B$2&lt;&gt;"Yes",0,IFERROR(SUMIFS(Inventory!$F$3:$F$62,Inventory!$B$3:$B$62,$B15,Inventory!$A$3:$A$62,LEFT(E$5,FIND(" reorder qty",E$5)-1),Inventory!$I$3:$I$62,"Yes",Inventory!$J$3:$J$62,$B$3)-SUMIFS(Inventory!$G$3:$G$62,Inventory!$B$3:$B$62,$B15,Inventory!$A$3:$A$62,LEFT(E$5,FIND(" reorder qty",E$5)-1),Inventory!$I$3:$I$62,"Yes",Inventory!$J$3:$J$62,$B$3),0))</f>
        <v>3</v>
      </c>
      <c r="F15" s="45">
        <f ca="1">IF($B$2&lt;&gt;"Yes",0,IFERROR(SUMIFS(Inventory!$F$3:$F$62,Inventory!$B$3:$B$62,$B15,Inventory!$A$3:$A$62,LEFT(F$5,FIND(" reorder qty",F$5)-1),Inventory!$I$3:$I$62,"Yes",Inventory!$J$3:$J$62,$B$3)-SUMIFS(Inventory!$G$3:$G$62,Inventory!$B$3:$B$62,$B15,Inventory!$A$3:$A$62,LEFT(F$5,FIND(" reorder qty",F$5)-1),Inventory!$I$3:$I$62,"Yes",Inventory!$J$3:$J$62,$B$3),0))</f>
        <v>4</v>
      </c>
      <c r="G15" s="47">
        <f t="shared" ca="1" si="0"/>
        <v>7</v>
      </c>
    </row>
    <row r="16" spans="1:7" x14ac:dyDescent="0.35">
      <c r="A16" s="12" t="s">
        <v>32</v>
      </c>
      <c r="B16" s="11" t="s">
        <v>40</v>
      </c>
      <c r="C16" s="25" t="str">
        <f>VLOOKUP(B16,Products!$A$3:$B$22,2,0)</f>
        <v>Herbal Tea Sampler</v>
      </c>
      <c r="D16" s="45">
        <f>IF($B$2&lt;&gt;"Yes",0,IFERROR(SUMIFS(Inventory!$F$3:$F$62,Inventory!$B$3:$B$62,$B16,Inventory!$A$3:$A$62,LEFT(D$5,FIND(" reorder qty",D$5)-1),Inventory!$I$3:$I$62,"Yes",Inventory!$J$3:$J$62,$B$3)-SUMIFS(Inventory!$G$3:$G$62,Inventory!$B$3:$B$62,$B16,Inventory!$A$3:$A$62,LEFT(D$5,FIND(" reorder qty",D$5)-1),Inventory!$I$3:$I$62,"Yes",Inventory!$J$3:$J$62,$B$3),0))</f>
        <v>0</v>
      </c>
      <c r="E16" s="45">
        <f ca="1">IF($B$2&lt;&gt;"Yes",0,IFERROR(SUMIFS(Inventory!$F$3:$F$62,Inventory!$B$3:$B$62,$B16,Inventory!$A$3:$A$62,LEFT(E$5,FIND(" reorder qty",E$5)-1),Inventory!$I$3:$I$62,"Yes",Inventory!$J$3:$J$62,$B$3)-SUMIFS(Inventory!$G$3:$G$62,Inventory!$B$3:$B$62,$B16,Inventory!$A$3:$A$62,LEFT(E$5,FIND(" reorder qty",E$5)-1),Inventory!$I$3:$I$62,"Yes",Inventory!$J$3:$J$62,$B$3),0))</f>
        <v>1</v>
      </c>
      <c r="F16" s="45">
        <f>IF($B$2&lt;&gt;"Yes",0,IFERROR(SUMIFS(Inventory!$F$3:$F$62,Inventory!$B$3:$B$62,$B16,Inventory!$A$3:$A$62,LEFT(F$5,FIND(" reorder qty",F$5)-1),Inventory!$I$3:$I$62,"Yes",Inventory!$J$3:$J$62,$B$3)-SUMIFS(Inventory!$G$3:$G$62,Inventory!$B$3:$B$62,$B16,Inventory!$A$3:$A$62,LEFT(F$5,FIND(" reorder qty",F$5)-1),Inventory!$I$3:$I$62,"Yes",Inventory!$J$3:$J$62,$B$3),0))</f>
        <v>0</v>
      </c>
      <c r="G16" s="46">
        <f t="shared" ca="1" si="0"/>
        <v>1</v>
      </c>
    </row>
    <row r="17" spans="1:7" x14ac:dyDescent="0.35">
      <c r="A17" s="9" t="s">
        <v>28</v>
      </c>
      <c r="B17" s="8" t="s">
        <v>42</v>
      </c>
      <c r="C17" s="21" t="str">
        <f>VLOOKUP(B17,Products!$A$3:$B$22,2,0)</f>
        <v>Sticky Note Set</v>
      </c>
      <c r="D17" s="45">
        <f>IF($B$2&lt;&gt;"Yes",0,IFERROR(SUMIFS(Inventory!$F$3:$F$62,Inventory!$B$3:$B$62,$B17,Inventory!$A$3:$A$62,LEFT(D$5,FIND(" reorder qty",D$5)-1),Inventory!$I$3:$I$62,"Yes",Inventory!$J$3:$J$62,$B$3)-SUMIFS(Inventory!$G$3:$G$62,Inventory!$B$3:$B$62,$B17,Inventory!$A$3:$A$62,LEFT(D$5,FIND(" reorder qty",D$5)-1),Inventory!$I$3:$I$62,"Yes",Inventory!$J$3:$J$62,$B$3),0))</f>
        <v>0</v>
      </c>
      <c r="E17" s="45">
        <f>IF($B$2&lt;&gt;"Yes",0,IFERROR(SUMIFS(Inventory!$F$3:$F$62,Inventory!$B$3:$B$62,$B17,Inventory!$A$3:$A$62,LEFT(E$5,FIND(" reorder qty",E$5)-1),Inventory!$I$3:$I$62,"Yes",Inventory!$J$3:$J$62,$B$3)-SUMIFS(Inventory!$G$3:$G$62,Inventory!$B$3:$B$62,$B17,Inventory!$A$3:$A$62,LEFT(E$5,FIND(" reorder qty",E$5)-1),Inventory!$I$3:$I$62,"Yes",Inventory!$J$3:$J$62,$B$3),0))</f>
        <v>0</v>
      </c>
      <c r="F17" s="45">
        <f ca="1">IF($B$2&lt;&gt;"Yes",0,IFERROR(SUMIFS(Inventory!$F$3:$F$62,Inventory!$B$3:$B$62,$B17,Inventory!$A$3:$A$62,LEFT(F$5,FIND(" reorder qty",F$5)-1),Inventory!$I$3:$I$62,"Yes",Inventory!$J$3:$J$62,$B$3)-SUMIFS(Inventory!$G$3:$G$62,Inventory!$B$3:$B$62,$B17,Inventory!$A$3:$A$62,LEFT(F$5,FIND(" reorder qty",F$5)-1),Inventory!$I$3:$I$62,"Yes",Inventory!$J$3:$J$62,$B$3),0))</f>
        <v>8</v>
      </c>
      <c r="G17" s="47">
        <f t="shared" ca="1" si="0"/>
        <v>8</v>
      </c>
    </row>
    <row r="18" spans="1:7" x14ac:dyDescent="0.35">
      <c r="A18" s="12" t="s">
        <v>35</v>
      </c>
      <c r="B18" s="11" t="s">
        <v>44</v>
      </c>
      <c r="C18" s="25" t="str">
        <f>VLOOKUP(B18,Products!$A$3:$B$22,2,0)</f>
        <v>Reusable Straw Kit</v>
      </c>
      <c r="D18" s="45">
        <f>IF($B$2&lt;&gt;"Yes",0,IFERROR(SUMIFS(Inventory!$F$3:$F$62,Inventory!$B$3:$B$62,$B18,Inventory!$A$3:$A$62,LEFT(D$5,FIND(" reorder qty",D$5)-1),Inventory!$I$3:$I$62,"Yes",Inventory!$J$3:$J$62,$B$3)-SUMIFS(Inventory!$G$3:$G$62,Inventory!$B$3:$B$62,$B18,Inventory!$A$3:$A$62,LEFT(D$5,FIND(" reorder qty",D$5)-1),Inventory!$I$3:$I$62,"Yes",Inventory!$J$3:$J$62,$B$3),0))</f>
        <v>0</v>
      </c>
      <c r="E18" s="45">
        <f ca="1">IF($B$2&lt;&gt;"Yes",0,IFERROR(SUMIFS(Inventory!$F$3:$F$62,Inventory!$B$3:$B$62,$B18,Inventory!$A$3:$A$62,LEFT(E$5,FIND(" reorder qty",E$5)-1),Inventory!$I$3:$I$62,"Yes",Inventory!$J$3:$J$62,$B$3)-SUMIFS(Inventory!$G$3:$G$62,Inventory!$B$3:$B$62,$B18,Inventory!$A$3:$A$62,LEFT(E$5,FIND(" reorder qty",E$5)-1),Inventory!$I$3:$I$62,"Yes",Inventory!$J$3:$J$62,$B$3),0))</f>
        <v>12</v>
      </c>
      <c r="F18" s="45">
        <f>IF($B$2&lt;&gt;"Yes",0,IFERROR(SUMIFS(Inventory!$F$3:$F$62,Inventory!$B$3:$B$62,$B18,Inventory!$A$3:$A$62,LEFT(F$5,FIND(" reorder qty",F$5)-1),Inventory!$I$3:$I$62,"Yes",Inventory!$J$3:$J$62,$B$3)-SUMIFS(Inventory!$G$3:$G$62,Inventory!$B$3:$B$62,$B18,Inventory!$A$3:$A$62,LEFT(F$5,FIND(" reorder qty",F$5)-1),Inventory!$I$3:$I$62,"Yes",Inventory!$J$3:$J$62,$B$3),0))</f>
        <v>0</v>
      </c>
      <c r="G18" s="46">
        <f t="shared" ca="1" si="0"/>
        <v>12</v>
      </c>
    </row>
    <row r="19" spans="1:7" x14ac:dyDescent="0.35">
      <c r="A19" s="9" t="s">
        <v>13</v>
      </c>
      <c r="B19" s="8" t="s">
        <v>46</v>
      </c>
      <c r="C19" s="21" t="str">
        <f>VLOOKUP(B19,Products!$A$3:$B$22,2,0)</f>
        <v>Desktop Cable Organiser</v>
      </c>
      <c r="D19" s="45">
        <f>IF($B$2&lt;&gt;"Yes",0,IFERROR(SUMIFS(Inventory!$F$3:$F$62,Inventory!$B$3:$B$62,$B19,Inventory!$A$3:$A$62,LEFT(D$5,FIND(" reorder qty",D$5)-1),Inventory!$I$3:$I$62,"Yes",Inventory!$J$3:$J$62,$B$3)-SUMIFS(Inventory!$G$3:$G$62,Inventory!$B$3:$B$62,$B19,Inventory!$A$3:$A$62,LEFT(D$5,FIND(" reorder qty",D$5)-1),Inventory!$I$3:$I$62,"Yes",Inventory!$J$3:$J$62,$B$3),0))</f>
        <v>0</v>
      </c>
      <c r="E19" s="45">
        <f>IF($B$2&lt;&gt;"Yes",0,IFERROR(SUMIFS(Inventory!$F$3:$F$62,Inventory!$B$3:$B$62,$B19,Inventory!$A$3:$A$62,LEFT(E$5,FIND(" reorder qty",E$5)-1),Inventory!$I$3:$I$62,"Yes",Inventory!$J$3:$J$62,$B$3)-SUMIFS(Inventory!$G$3:$G$62,Inventory!$B$3:$B$62,$B19,Inventory!$A$3:$A$62,LEFT(E$5,FIND(" reorder qty",E$5)-1),Inventory!$I$3:$I$62,"Yes",Inventory!$J$3:$J$62,$B$3),0))</f>
        <v>0</v>
      </c>
      <c r="F19" s="45">
        <f ca="1">IF($B$2&lt;&gt;"Yes",0,IFERROR(SUMIFS(Inventory!$F$3:$F$62,Inventory!$B$3:$B$62,$B19,Inventory!$A$3:$A$62,LEFT(F$5,FIND(" reorder qty",F$5)-1),Inventory!$I$3:$I$62,"Yes",Inventory!$J$3:$J$62,$B$3)-SUMIFS(Inventory!$G$3:$G$62,Inventory!$B$3:$B$62,$B19,Inventory!$A$3:$A$62,LEFT(F$5,FIND(" reorder qty",F$5)-1),Inventory!$I$3:$I$62,"Yes",Inventory!$J$3:$J$62,$B$3),0))</f>
        <v>4</v>
      </c>
      <c r="G19" s="47">
        <f t="shared" ca="1" si="0"/>
        <v>4</v>
      </c>
    </row>
    <row r="20" spans="1:7" x14ac:dyDescent="0.35">
      <c r="A20" s="12" t="s">
        <v>17</v>
      </c>
      <c r="B20" s="11" t="s">
        <v>48</v>
      </c>
      <c r="C20" s="25" t="str">
        <f>VLOOKUP(B20,Products!$A$3:$B$22,2,0)</f>
        <v>Scented Hand Cream</v>
      </c>
      <c r="D20" s="45">
        <f ca="1">IF($B$2&lt;&gt;"Yes",0,IFERROR(SUMIFS(Inventory!$F$3:$F$62,Inventory!$B$3:$B$62,$B20,Inventory!$A$3:$A$62,LEFT(D$5,FIND(" reorder qty",D$5)-1),Inventory!$I$3:$I$62,"Yes",Inventory!$J$3:$J$62,$B$3)-SUMIFS(Inventory!$G$3:$G$62,Inventory!$B$3:$B$62,$B20,Inventory!$A$3:$A$62,LEFT(D$5,FIND(" reorder qty",D$5)-1),Inventory!$I$3:$I$62,"Yes",Inventory!$J$3:$J$62,$B$3),0))</f>
        <v>2</v>
      </c>
      <c r="E20" s="45">
        <f ca="1">IF($B$2&lt;&gt;"Yes",0,IFERROR(SUMIFS(Inventory!$F$3:$F$62,Inventory!$B$3:$B$62,$B20,Inventory!$A$3:$A$62,LEFT(E$5,FIND(" reorder qty",E$5)-1),Inventory!$I$3:$I$62,"Yes",Inventory!$J$3:$J$62,$B$3)-SUMIFS(Inventory!$G$3:$G$62,Inventory!$B$3:$B$62,$B20,Inventory!$A$3:$A$62,LEFT(E$5,FIND(" reorder qty",E$5)-1),Inventory!$I$3:$I$62,"Yes",Inventory!$J$3:$J$62,$B$3),0))</f>
        <v>2</v>
      </c>
      <c r="F20" s="45">
        <f ca="1">IF($B$2&lt;&gt;"Yes",0,IFERROR(SUMIFS(Inventory!$F$3:$F$62,Inventory!$B$3:$B$62,$B20,Inventory!$A$3:$A$62,LEFT(F$5,FIND(" reorder qty",F$5)-1),Inventory!$I$3:$I$62,"Yes",Inventory!$J$3:$J$62,$B$3)-SUMIFS(Inventory!$G$3:$G$62,Inventory!$B$3:$B$62,$B20,Inventory!$A$3:$A$62,LEFT(F$5,FIND(" reorder qty",F$5)-1),Inventory!$I$3:$I$62,"Yes",Inventory!$J$3:$J$62,$B$3),0))</f>
        <v>4</v>
      </c>
      <c r="G20" s="46">
        <f t="shared" ca="1" si="0"/>
        <v>8</v>
      </c>
    </row>
    <row r="21" spans="1:7" x14ac:dyDescent="0.35">
      <c r="A21" s="9" t="s">
        <v>9</v>
      </c>
      <c r="B21" s="8" t="s">
        <v>50</v>
      </c>
      <c r="C21" s="21" t="str">
        <f>VLOOKUP(B21,Products!$A$3:$B$22,2,0)</f>
        <v>Insulated Lunch Bag</v>
      </c>
      <c r="D21" s="45">
        <f ca="1">IF($B$2&lt;&gt;"Yes",0,IFERROR(SUMIFS(Inventory!$F$3:$F$62,Inventory!$B$3:$B$62,$B21,Inventory!$A$3:$A$62,LEFT(D$5,FIND(" reorder qty",D$5)-1),Inventory!$I$3:$I$62,"Yes",Inventory!$J$3:$J$62,$B$3)-SUMIFS(Inventory!$G$3:$G$62,Inventory!$B$3:$B$62,$B21,Inventory!$A$3:$A$62,LEFT(D$5,FIND(" reorder qty",D$5)-1),Inventory!$I$3:$I$62,"Yes",Inventory!$J$3:$J$62,$B$3),0))</f>
        <v>1</v>
      </c>
      <c r="E21" s="45">
        <f ca="1">IF($B$2&lt;&gt;"Yes",0,IFERROR(SUMIFS(Inventory!$F$3:$F$62,Inventory!$B$3:$B$62,$B21,Inventory!$A$3:$A$62,LEFT(E$5,FIND(" reorder qty",E$5)-1),Inventory!$I$3:$I$62,"Yes",Inventory!$J$3:$J$62,$B$3)-SUMIFS(Inventory!$G$3:$G$62,Inventory!$B$3:$B$62,$B21,Inventory!$A$3:$A$62,LEFT(E$5,FIND(" reorder qty",E$5)-1),Inventory!$I$3:$I$62,"Yes",Inventory!$J$3:$J$62,$B$3),0))</f>
        <v>1</v>
      </c>
      <c r="F21" s="45">
        <f ca="1">IF($B$2&lt;&gt;"Yes",0,IFERROR(SUMIFS(Inventory!$F$3:$F$62,Inventory!$B$3:$B$62,$B21,Inventory!$A$3:$A$62,LEFT(F$5,FIND(" reorder qty",F$5)-1),Inventory!$I$3:$I$62,"Yes",Inventory!$J$3:$J$62,$B$3)-SUMIFS(Inventory!$G$3:$G$62,Inventory!$B$3:$B$62,$B21,Inventory!$A$3:$A$62,LEFT(F$5,FIND(" reorder qty",F$5)-1),Inventory!$I$3:$I$62,"Yes",Inventory!$J$3:$J$62,$B$3),0))</f>
        <v>2</v>
      </c>
      <c r="G21" s="47">
        <f t="shared" ca="1" si="0"/>
        <v>4</v>
      </c>
    </row>
    <row r="22" spans="1:7" x14ac:dyDescent="0.35">
      <c r="A22" s="12" t="s">
        <v>28</v>
      </c>
      <c r="B22" s="11" t="s">
        <v>52</v>
      </c>
      <c r="C22" s="25" t="str">
        <f>VLOOKUP(B22,Products!$A$3:$B$22,2,0)</f>
        <v>Motivational Poster Set</v>
      </c>
      <c r="D22" s="45">
        <f>IF($B$2&lt;&gt;"Yes",0,IFERROR(SUMIFS(Inventory!$F$3:$F$62,Inventory!$B$3:$B$62,$B22,Inventory!$A$3:$A$62,LEFT(D$5,FIND(" reorder qty",D$5)-1),Inventory!$I$3:$I$62,"Yes",Inventory!$J$3:$J$62,$B$3)-SUMIFS(Inventory!$G$3:$G$62,Inventory!$B$3:$B$62,$B22,Inventory!$A$3:$A$62,LEFT(D$5,FIND(" reorder qty",D$5)-1),Inventory!$I$3:$I$62,"Yes",Inventory!$J$3:$J$62,$B$3),0))</f>
        <v>0</v>
      </c>
      <c r="E22" s="45">
        <f ca="1">IF($B$2&lt;&gt;"Yes",0,IFERROR(SUMIFS(Inventory!$F$3:$F$62,Inventory!$B$3:$B$62,$B22,Inventory!$A$3:$A$62,LEFT(E$5,FIND(" reorder qty",E$5)-1),Inventory!$I$3:$I$62,"Yes",Inventory!$J$3:$J$62,$B$3)-SUMIFS(Inventory!$G$3:$G$62,Inventory!$B$3:$B$62,$B22,Inventory!$A$3:$A$62,LEFT(E$5,FIND(" reorder qty",E$5)-1),Inventory!$I$3:$I$62,"Yes",Inventory!$J$3:$J$62,$B$3),0))</f>
        <v>7</v>
      </c>
      <c r="F22" s="45">
        <f ca="1">IF($B$2&lt;&gt;"Yes",0,IFERROR(SUMIFS(Inventory!$F$3:$F$62,Inventory!$B$3:$B$62,$B22,Inventory!$A$3:$A$62,LEFT(F$5,FIND(" reorder qty",F$5)-1),Inventory!$I$3:$I$62,"Yes",Inventory!$J$3:$J$62,$B$3)-SUMIFS(Inventory!$G$3:$G$62,Inventory!$B$3:$B$62,$B22,Inventory!$A$3:$A$62,LEFT(F$5,FIND(" reorder qty",F$5)-1),Inventory!$I$3:$I$62,"Yes",Inventory!$J$3:$J$62,$B$3),0))</f>
        <v>4</v>
      </c>
      <c r="G22" s="46">
        <f t="shared" ca="1" si="0"/>
        <v>11</v>
      </c>
    </row>
    <row r="23" spans="1:7" x14ac:dyDescent="0.35">
      <c r="A23" s="9" t="s">
        <v>32</v>
      </c>
      <c r="B23" s="8" t="s">
        <v>54</v>
      </c>
      <c r="C23" s="21" t="str">
        <f>VLOOKUP(B23,Products!$A$3:$B$22,2,0)</f>
        <v>Trail Mix Jar</v>
      </c>
      <c r="D23" s="45">
        <f>IF($B$2&lt;&gt;"Yes",0,IFERROR(SUMIFS(Inventory!$F$3:$F$62,Inventory!$B$3:$B$62,$B23,Inventory!$A$3:$A$62,LEFT(D$5,FIND(" reorder qty",D$5)-1),Inventory!$I$3:$I$62,"Yes",Inventory!$J$3:$J$62,$B$3)-SUMIFS(Inventory!$G$3:$G$62,Inventory!$B$3:$B$62,$B23,Inventory!$A$3:$A$62,LEFT(D$5,FIND(" reorder qty",D$5)-1),Inventory!$I$3:$I$62,"Yes",Inventory!$J$3:$J$62,$B$3),0))</f>
        <v>0</v>
      </c>
      <c r="E23" s="45">
        <f ca="1">IF($B$2&lt;&gt;"Yes",0,IFERROR(SUMIFS(Inventory!$F$3:$F$62,Inventory!$B$3:$B$62,$B23,Inventory!$A$3:$A$62,LEFT(E$5,FIND(" reorder qty",E$5)-1),Inventory!$I$3:$I$62,"Yes",Inventory!$J$3:$J$62,$B$3)-SUMIFS(Inventory!$G$3:$G$62,Inventory!$B$3:$B$62,$B23,Inventory!$A$3:$A$62,LEFT(E$5,FIND(" reorder qty",E$5)-1),Inventory!$I$3:$I$62,"Yes",Inventory!$J$3:$J$62,$B$3),0))</f>
        <v>2</v>
      </c>
      <c r="F23" s="45">
        <f ca="1">IF($B$2&lt;&gt;"Yes",0,IFERROR(SUMIFS(Inventory!$F$3:$F$62,Inventory!$B$3:$B$62,$B23,Inventory!$A$3:$A$62,LEFT(F$5,FIND(" reorder qty",F$5)-1),Inventory!$I$3:$I$62,"Yes",Inventory!$J$3:$J$62,$B$3)-SUMIFS(Inventory!$G$3:$G$62,Inventory!$B$3:$B$62,$B23,Inventory!$A$3:$A$62,LEFT(F$5,FIND(" reorder qty",F$5)-1),Inventory!$I$3:$I$62,"Yes",Inventory!$J$3:$J$62,$B$3),0))</f>
        <v>8</v>
      </c>
      <c r="G23" s="47">
        <f t="shared" ca="1" si="0"/>
        <v>10</v>
      </c>
    </row>
    <row r="24" spans="1:7" x14ac:dyDescent="0.35">
      <c r="A24" s="12" t="s">
        <v>13</v>
      </c>
      <c r="B24" s="11" t="s">
        <v>56</v>
      </c>
      <c r="C24" s="25" t="str">
        <f>VLOOKUP(B24,Products!$A$3:$B$22,2,0)</f>
        <v>Magnetic Phone Mount</v>
      </c>
      <c r="D24" s="45">
        <f>IF($B$2&lt;&gt;"Yes",0,IFERROR(SUMIFS(Inventory!$F$3:$F$62,Inventory!$B$3:$B$62,$B24,Inventory!$A$3:$A$62,LEFT(D$5,FIND(" reorder qty",D$5)-1),Inventory!$I$3:$I$62,"Yes",Inventory!$J$3:$J$62,$B$3)-SUMIFS(Inventory!$G$3:$G$62,Inventory!$B$3:$B$62,$B24,Inventory!$A$3:$A$62,LEFT(D$5,FIND(" reorder qty",D$5)-1),Inventory!$I$3:$I$62,"Yes",Inventory!$J$3:$J$62,$B$3),0))</f>
        <v>0</v>
      </c>
      <c r="E24" s="45">
        <f ca="1">IF($B$2&lt;&gt;"Yes",0,IFERROR(SUMIFS(Inventory!$F$3:$F$62,Inventory!$B$3:$B$62,$B24,Inventory!$A$3:$A$62,LEFT(E$5,FIND(" reorder qty",E$5)-1),Inventory!$I$3:$I$62,"Yes",Inventory!$J$3:$J$62,$B$3)-SUMIFS(Inventory!$G$3:$G$62,Inventory!$B$3:$B$62,$B24,Inventory!$A$3:$A$62,LEFT(E$5,FIND(" reorder qty",E$5)-1),Inventory!$I$3:$I$62,"Yes",Inventory!$J$3:$J$62,$B$3),0))</f>
        <v>2</v>
      </c>
      <c r="F24" s="45">
        <f ca="1">IF($B$2&lt;&gt;"Yes",0,IFERROR(SUMIFS(Inventory!$F$3:$F$62,Inventory!$B$3:$B$62,$B24,Inventory!$A$3:$A$62,LEFT(F$5,FIND(" reorder qty",F$5)-1),Inventory!$I$3:$I$62,"Yes",Inventory!$J$3:$J$62,$B$3)-SUMIFS(Inventory!$G$3:$G$62,Inventory!$B$3:$B$62,$B24,Inventory!$A$3:$A$62,LEFT(F$5,FIND(" reorder qty",F$5)-1),Inventory!$I$3:$I$62,"Yes",Inventory!$J$3:$J$62,$B$3),0))</f>
        <v>9</v>
      </c>
      <c r="G24" s="46">
        <f t="shared" ca="1" si="0"/>
        <v>11</v>
      </c>
    </row>
    <row r="25" spans="1:7" x14ac:dyDescent="0.35">
      <c r="A25" s="9" t="s">
        <v>60</v>
      </c>
      <c r="B25" s="8" t="s">
        <v>58</v>
      </c>
      <c r="C25" s="21" t="str">
        <f>VLOOKUP(B25,Products!$A$3:$B$22,2,0)</f>
        <v>Yoga Resistance Band</v>
      </c>
      <c r="D25" s="45">
        <f>IF($B$2&lt;&gt;"Yes",0,IFERROR(SUMIFS(Inventory!$F$3:$F$62,Inventory!$B$3:$B$62,$B25,Inventory!$A$3:$A$62,LEFT(D$5,FIND(" reorder qty",D$5)-1),Inventory!$I$3:$I$62,"Yes",Inventory!$J$3:$J$62,$B$3)-SUMIFS(Inventory!$G$3:$G$62,Inventory!$B$3:$B$62,$B25,Inventory!$A$3:$A$62,LEFT(D$5,FIND(" reorder qty",D$5)-1),Inventory!$I$3:$I$62,"Yes",Inventory!$J$3:$J$62,$B$3),0))</f>
        <v>0</v>
      </c>
      <c r="E25" s="45">
        <f ca="1">IF($B$2&lt;&gt;"Yes",0,IFERROR(SUMIFS(Inventory!$F$3:$F$62,Inventory!$B$3:$B$62,$B25,Inventory!$A$3:$A$62,LEFT(E$5,FIND(" reorder qty",E$5)-1),Inventory!$I$3:$I$62,"Yes",Inventory!$J$3:$J$62,$B$3)-SUMIFS(Inventory!$G$3:$G$62,Inventory!$B$3:$B$62,$B25,Inventory!$A$3:$A$62,LEFT(E$5,FIND(" reorder qty",E$5)-1),Inventory!$I$3:$I$62,"Yes",Inventory!$J$3:$J$62,$B$3),0))</f>
        <v>1</v>
      </c>
      <c r="F25" s="45">
        <f ca="1">IF($B$2&lt;&gt;"Yes",0,IFERROR(SUMIFS(Inventory!$F$3:$F$62,Inventory!$B$3:$B$62,$B25,Inventory!$A$3:$A$62,LEFT(F$5,FIND(" reorder qty",F$5)-1),Inventory!$I$3:$I$62,"Yes",Inventory!$J$3:$J$62,$B$3)-SUMIFS(Inventory!$G$3:$G$62,Inventory!$B$3:$B$62,$B25,Inventory!$A$3:$A$62,LEFT(F$5,FIND(" reorder qty",F$5)-1),Inventory!$I$3:$I$62,"Yes",Inventory!$J$3:$J$62,$B$3),0))</f>
        <v>9</v>
      </c>
      <c r="G25" s="47">
        <f t="shared" ca="1" si="0"/>
        <v>10</v>
      </c>
    </row>
    <row r="26" spans="1:7" x14ac:dyDescent="0.35">
      <c r="A26" s="3" t="s">
        <v>177</v>
      </c>
      <c r="B26" s="3"/>
      <c r="C26" s="3"/>
      <c r="D26" s="31">
        <f ca="1">SUM(D6:D25)</f>
        <v>9</v>
      </c>
      <c r="E26" s="31">
        <f ca="1">SUM(E6:E25)</f>
        <v>97</v>
      </c>
      <c r="F26" s="31">
        <f ca="1">SUM(F6:F25)</f>
        <v>110</v>
      </c>
      <c r="G26" s="31">
        <f ca="1">SUM(G6:G25)</f>
        <v>216</v>
      </c>
    </row>
  </sheetData>
  <mergeCells count="2">
    <mergeCell ref="A1:G1"/>
    <mergeCell ref="A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Normal="100" workbookViewId="0">
      <pane ySplit="2" topLeftCell="A3" activePane="bottomLeft" state="frozen"/>
      <selection pane="bottomLeft" activeCell="K12" sqref="K12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20" customWidth="1"/>
    <col min="4" max="4" width="14" customWidth="1"/>
    <col min="5" max="5" width="15" customWidth="1"/>
    <col min="6" max="6" width="24" customWidth="1"/>
  </cols>
  <sheetData>
    <row r="1" spans="1:6" ht="31.5" customHeight="1" x14ac:dyDescent="0.35">
      <c r="A1" s="6" t="s">
        <v>182</v>
      </c>
      <c r="B1" s="6"/>
      <c r="C1" s="6"/>
      <c r="D1" s="6"/>
      <c r="E1" s="6"/>
      <c r="F1" s="6"/>
    </row>
    <row r="2" spans="1:6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x14ac:dyDescent="0.35">
      <c r="A3" s="8" t="s">
        <v>6</v>
      </c>
      <c r="B3" s="9" t="s">
        <v>7</v>
      </c>
      <c r="C3" s="9" t="s">
        <v>8</v>
      </c>
      <c r="D3" s="10">
        <v>9</v>
      </c>
      <c r="E3" s="8">
        <v>20</v>
      </c>
      <c r="F3" s="9" t="s">
        <v>9</v>
      </c>
    </row>
    <row r="4" spans="1:6" x14ac:dyDescent="0.35">
      <c r="A4" s="11" t="s">
        <v>10</v>
      </c>
      <c r="B4" s="12" t="s">
        <v>11</v>
      </c>
      <c r="C4" s="12" t="s">
        <v>12</v>
      </c>
      <c r="D4" s="13">
        <v>18.5</v>
      </c>
      <c r="E4" s="11">
        <v>15</v>
      </c>
      <c r="F4" s="12" t="s">
        <v>13</v>
      </c>
    </row>
    <row r="5" spans="1:6" x14ac:dyDescent="0.35">
      <c r="A5" s="8" t="s">
        <v>14</v>
      </c>
      <c r="B5" s="9" t="s">
        <v>15</v>
      </c>
      <c r="C5" s="9" t="s">
        <v>16</v>
      </c>
      <c r="D5" s="10">
        <v>5</v>
      </c>
      <c r="E5" s="8">
        <v>25</v>
      </c>
      <c r="F5" s="9" t="s">
        <v>17</v>
      </c>
    </row>
    <row r="6" spans="1:6" x14ac:dyDescent="0.35">
      <c r="A6" s="11" t="s">
        <v>18</v>
      </c>
      <c r="B6" s="12" t="s">
        <v>19</v>
      </c>
      <c r="C6" s="12" t="s">
        <v>20</v>
      </c>
      <c r="D6" s="13">
        <v>7.5</v>
      </c>
      <c r="E6" s="11">
        <v>20</v>
      </c>
      <c r="F6" s="12" t="s">
        <v>21</v>
      </c>
    </row>
    <row r="7" spans="1:6" x14ac:dyDescent="0.35">
      <c r="A7" s="8" t="s">
        <v>22</v>
      </c>
      <c r="B7" s="9" t="s">
        <v>23</v>
      </c>
      <c r="C7" s="9" t="s">
        <v>8</v>
      </c>
      <c r="D7" s="10">
        <v>8</v>
      </c>
      <c r="E7" s="8">
        <v>12</v>
      </c>
      <c r="F7" s="9" t="s">
        <v>24</v>
      </c>
    </row>
    <row r="8" spans="1:6" x14ac:dyDescent="0.35">
      <c r="A8" s="11" t="s">
        <v>25</v>
      </c>
      <c r="B8" s="12" t="s">
        <v>26</v>
      </c>
      <c r="C8" s="12" t="s">
        <v>27</v>
      </c>
      <c r="D8" s="13">
        <v>4.5</v>
      </c>
      <c r="E8" s="11">
        <v>30</v>
      </c>
      <c r="F8" s="12" t="s">
        <v>28</v>
      </c>
    </row>
    <row r="9" spans="1:6" x14ac:dyDescent="0.35">
      <c r="A9" s="8" t="s">
        <v>29</v>
      </c>
      <c r="B9" s="9" t="s">
        <v>30</v>
      </c>
      <c r="C9" s="9" t="s">
        <v>31</v>
      </c>
      <c r="D9" s="10">
        <v>3.5</v>
      </c>
      <c r="E9" s="8">
        <v>40</v>
      </c>
      <c r="F9" s="9" t="s">
        <v>32</v>
      </c>
    </row>
    <row r="10" spans="1:6" x14ac:dyDescent="0.35">
      <c r="A10" s="11" t="s">
        <v>33</v>
      </c>
      <c r="B10" s="12" t="s">
        <v>34</v>
      </c>
      <c r="C10" s="12" t="s">
        <v>16</v>
      </c>
      <c r="D10" s="13">
        <v>6</v>
      </c>
      <c r="E10" s="11">
        <v>20</v>
      </c>
      <c r="F10" s="12" t="s">
        <v>35</v>
      </c>
    </row>
    <row r="11" spans="1:6" x14ac:dyDescent="0.35">
      <c r="A11" s="8" t="s">
        <v>36</v>
      </c>
      <c r="B11" s="9" t="s">
        <v>37</v>
      </c>
      <c r="C11" s="9" t="s">
        <v>12</v>
      </c>
      <c r="D11" s="10">
        <v>11</v>
      </c>
      <c r="E11" s="8">
        <v>10</v>
      </c>
      <c r="F11" s="9" t="s">
        <v>13</v>
      </c>
    </row>
    <row r="12" spans="1:6" x14ac:dyDescent="0.35">
      <c r="A12" s="11" t="s">
        <v>38</v>
      </c>
      <c r="B12" s="12" t="s">
        <v>39</v>
      </c>
      <c r="C12" s="12" t="s">
        <v>20</v>
      </c>
      <c r="D12" s="13">
        <v>5.5</v>
      </c>
      <c r="E12" s="11">
        <v>18</v>
      </c>
      <c r="F12" s="12" t="s">
        <v>21</v>
      </c>
    </row>
    <row r="13" spans="1:6" x14ac:dyDescent="0.35">
      <c r="A13" s="8" t="s">
        <v>40</v>
      </c>
      <c r="B13" s="9" t="s">
        <v>41</v>
      </c>
      <c r="C13" s="9" t="s">
        <v>31</v>
      </c>
      <c r="D13" s="10">
        <v>10</v>
      </c>
      <c r="E13" s="8">
        <v>15</v>
      </c>
      <c r="F13" s="9" t="s">
        <v>32</v>
      </c>
    </row>
    <row r="14" spans="1:6" x14ac:dyDescent="0.35">
      <c r="A14" s="11" t="s">
        <v>42</v>
      </c>
      <c r="B14" s="12" t="s">
        <v>43</v>
      </c>
      <c r="C14" s="12" t="s">
        <v>27</v>
      </c>
      <c r="D14" s="13">
        <v>2.5</v>
      </c>
      <c r="E14" s="11">
        <v>35</v>
      </c>
      <c r="F14" s="12" t="s">
        <v>28</v>
      </c>
    </row>
    <row r="15" spans="1:6" x14ac:dyDescent="0.35">
      <c r="A15" s="8" t="s">
        <v>44</v>
      </c>
      <c r="B15" s="9" t="s">
        <v>45</v>
      </c>
      <c r="C15" s="9" t="s">
        <v>8</v>
      </c>
      <c r="D15" s="10">
        <v>4</v>
      </c>
      <c r="E15" s="8">
        <v>25</v>
      </c>
      <c r="F15" s="9" t="s">
        <v>35</v>
      </c>
    </row>
    <row r="16" spans="1:6" x14ac:dyDescent="0.35">
      <c r="A16" s="11" t="s">
        <v>46</v>
      </c>
      <c r="B16" s="12" t="s">
        <v>47</v>
      </c>
      <c r="C16" s="12" t="s">
        <v>12</v>
      </c>
      <c r="D16" s="13">
        <v>7</v>
      </c>
      <c r="E16" s="11">
        <v>12</v>
      </c>
      <c r="F16" s="12" t="s">
        <v>13</v>
      </c>
    </row>
    <row r="17" spans="1:6" x14ac:dyDescent="0.35">
      <c r="A17" s="8" t="s">
        <v>48</v>
      </c>
      <c r="B17" s="9" t="s">
        <v>49</v>
      </c>
      <c r="C17" s="9" t="s">
        <v>16</v>
      </c>
      <c r="D17" s="10">
        <v>8.5</v>
      </c>
      <c r="E17" s="8">
        <v>20</v>
      </c>
      <c r="F17" s="9" t="s">
        <v>17</v>
      </c>
    </row>
    <row r="18" spans="1:6" x14ac:dyDescent="0.35">
      <c r="A18" s="11" t="s">
        <v>50</v>
      </c>
      <c r="B18" s="12" t="s">
        <v>51</v>
      </c>
      <c r="C18" s="12" t="s">
        <v>8</v>
      </c>
      <c r="D18" s="13">
        <v>13</v>
      </c>
      <c r="E18" s="11">
        <v>15</v>
      </c>
      <c r="F18" s="12" t="s">
        <v>9</v>
      </c>
    </row>
    <row r="19" spans="1:6" x14ac:dyDescent="0.35">
      <c r="A19" s="8" t="s">
        <v>52</v>
      </c>
      <c r="B19" s="9" t="s">
        <v>53</v>
      </c>
      <c r="C19" s="9" t="s">
        <v>27</v>
      </c>
      <c r="D19" s="10">
        <v>6</v>
      </c>
      <c r="E19" s="8">
        <v>10</v>
      </c>
      <c r="F19" s="9" t="s">
        <v>28</v>
      </c>
    </row>
    <row r="20" spans="1:6" x14ac:dyDescent="0.35">
      <c r="A20" s="11" t="s">
        <v>54</v>
      </c>
      <c r="B20" s="12" t="s">
        <v>55</v>
      </c>
      <c r="C20" s="12" t="s">
        <v>31</v>
      </c>
      <c r="D20" s="13">
        <v>5.5</v>
      </c>
      <c r="E20" s="11">
        <v>30</v>
      </c>
      <c r="F20" s="12" t="s">
        <v>32</v>
      </c>
    </row>
    <row r="21" spans="1:6" x14ac:dyDescent="0.35">
      <c r="A21" s="8" t="s">
        <v>56</v>
      </c>
      <c r="B21" s="9" t="s">
        <v>57</v>
      </c>
      <c r="C21" s="9" t="s">
        <v>12</v>
      </c>
      <c r="D21" s="10">
        <v>9.5</v>
      </c>
      <c r="E21" s="8">
        <v>12</v>
      </c>
      <c r="F21" s="9" t="s">
        <v>13</v>
      </c>
    </row>
    <row r="22" spans="1:6" x14ac:dyDescent="0.35">
      <c r="A22" s="11" t="s">
        <v>58</v>
      </c>
      <c r="B22" s="12" t="s">
        <v>59</v>
      </c>
      <c r="C22" s="12" t="s">
        <v>16</v>
      </c>
      <c r="D22" s="13">
        <v>12</v>
      </c>
      <c r="E22" s="11">
        <v>15</v>
      </c>
      <c r="F22" s="12" t="s">
        <v>60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"/>
  <sheetViews>
    <sheetView tabSelected="1" zoomScaleNormal="100" workbookViewId="0">
      <pane ySplit="2" topLeftCell="A3" activePane="bottomLeft" state="frozen"/>
      <selection pane="bottomLeft" activeCell="H9" sqref="H9"/>
    </sheetView>
  </sheetViews>
  <sheetFormatPr defaultColWidth="8.6328125" defaultRowHeight="14.5" x14ac:dyDescent="0.35"/>
  <cols>
    <col min="1" max="1" width="10" customWidth="1"/>
    <col min="2" max="2" width="14" customWidth="1"/>
    <col min="3" max="5" width="12" customWidth="1"/>
    <col min="6" max="6" width="16" customWidth="1"/>
  </cols>
  <sheetData>
    <row r="1" spans="1:6" ht="31.5" customHeight="1" x14ac:dyDescent="0.35">
      <c r="A1" s="5" t="s">
        <v>61</v>
      </c>
      <c r="B1" s="5"/>
      <c r="C1" s="5"/>
      <c r="D1" s="5"/>
      <c r="E1" s="5"/>
      <c r="F1" s="5"/>
    </row>
    <row r="2" spans="1:6" x14ac:dyDescent="0.35">
      <c r="A2" s="14" t="s">
        <v>62</v>
      </c>
      <c r="B2" s="14" t="s">
        <v>63</v>
      </c>
      <c r="C2" s="14" t="s">
        <v>0</v>
      </c>
      <c r="D2" s="14" t="s">
        <v>64</v>
      </c>
      <c r="E2" s="14" t="s">
        <v>65</v>
      </c>
      <c r="F2" s="14" t="s">
        <v>66</v>
      </c>
    </row>
    <row r="3" spans="1:6" x14ac:dyDescent="0.35">
      <c r="A3" s="8" t="s">
        <v>67</v>
      </c>
      <c r="B3" s="15">
        <v>45920</v>
      </c>
      <c r="C3" s="8" t="s">
        <v>6</v>
      </c>
      <c r="D3" s="8" t="s">
        <v>68</v>
      </c>
      <c r="E3" s="8">
        <v>42</v>
      </c>
      <c r="F3" s="8" t="s">
        <v>69</v>
      </c>
    </row>
    <row r="4" spans="1:6" x14ac:dyDescent="0.35">
      <c r="A4" s="11" t="s">
        <v>70</v>
      </c>
      <c r="B4" s="16">
        <v>45920</v>
      </c>
      <c r="C4" s="11" t="s">
        <v>6</v>
      </c>
      <c r="D4" s="11" t="s">
        <v>71</v>
      </c>
      <c r="E4" s="11">
        <v>25</v>
      </c>
      <c r="F4" s="11" t="s">
        <v>69</v>
      </c>
    </row>
    <row r="5" spans="1:6" x14ac:dyDescent="0.35">
      <c r="A5" s="8" t="s">
        <v>72</v>
      </c>
      <c r="B5" s="15">
        <v>45920</v>
      </c>
      <c r="C5" s="8" t="s">
        <v>6</v>
      </c>
      <c r="D5" s="8" t="s">
        <v>73</v>
      </c>
      <c r="E5" s="8">
        <v>38</v>
      </c>
      <c r="F5" s="8" t="s">
        <v>69</v>
      </c>
    </row>
    <row r="6" spans="1:6" x14ac:dyDescent="0.35">
      <c r="A6" s="11" t="s">
        <v>74</v>
      </c>
      <c r="B6" s="16">
        <v>45920</v>
      </c>
      <c r="C6" s="11" t="s">
        <v>10</v>
      </c>
      <c r="D6" s="11" t="s">
        <v>68</v>
      </c>
      <c r="E6" s="11">
        <v>16</v>
      </c>
      <c r="F6" s="11" t="s">
        <v>69</v>
      </c>
    </row>
    <row r="7" spans="1:6" x14ac:dyDescent="0.35">
      <c r="A7" s="8" t="s">
        <v>75</v>
      </c>
      <c r="B7" s="15">
        <v>45920</v>
      </c>
      <c r="C7" s="8" t="s">
        <v>10</v>
      </c>
      <c r="D7" s="8" t="s">
        <v>71</v>
      </c>
      <c r="E7" s="8">
        <v>18</v>
      </c>
      <c r="F7" s="8" t="s">
        <v>69</v>
      </c>
    </row>
    <row r="8" spans="1:6" x14ac:dyDescent="0.35">
      <c r="A8" s="11" t="s">
        <v>76</v>
      </c>
      <c r="B8" s="16">
        <v>45920</v>
      </c>
      <c r="C8" s="11" t="s">
        <v>10</v>
      </c>
      <c r="D8" s="11" t="s">
        <v>73</v>
      </c>
      <c r="E8" s="11">
        <v>10</v>
      </c>
      <c r="F8" s="11" t="s">
        <v>69</v>
      </c>
    </row>
    <row r="9" spans="1:6" x14ac:dyDescent="0.35">
      <c r="A9" s="8" t="s">
        <v>77</v>
      </c>
      <c r="B9" s="15">
        <v>45920</v>
      </c>
      <c r="C9" s="8" t="s">
        <v>14</v>
      </c>
      <c r="D9" s="8" t="s">
        <v>68</v>
      </c>
      <c r="E9" s="8">
        <v>27</v>
      </c>
      <c r="F9" s="8" t="s">
        <v>69</v>
      </c>
    </row>
    <row r="10" spans="1:6" x14ac:dyDescent="0.35">
      <c r="A10" s="11" t="s">
        <v>78</v>
      </c>
      <c r="B10" s="16">
        <v>45920</v>
      </c>
      <c r="C10" s="11" t="s">
        <v>14</v>
      </c>
      <c r="D10" s="11" t="s">
        <v>71</v>
      </c>
      <c r="E10" s="11">
        <v>30</v>
      </c>
      <c r="F10" s="11" t="s">
        <v>69</v>
      </c>
    </row>
    <row r="11" spans="1:6" x14ac:dyDescent="0.35">
      <c r="A11" s="8" t="s">
        <v>79</v>
      </c>
      <c r="B11" s="15">
        <v>45920</v>
      </c>
      <c r="C11" s="8" t="s">
        <v>14</v>
      </c>
      <c r="D11" s="8" t="s">
        <v>73</v>
      </c>
      <c r="E11" s="8">
        <v>8</v>
      </c>
      <c r="F11" s="8" t="s">
        <v>69</v>
      </c>
    </row>
    <row r="12" spans="1:6" x14ac:dyDescent="0.35">
      <c r="A12" s="11" t="s">
        <v>80</v>
      </c>
      <c r="B12" s="16">
        <v>45920</v>
      </c>
      <c r="C12" s="11" t="s">
        <v>18</v>
      </c>
      <c r="D12" s="11" t="s">
        <v>68</v>
      </c>
      <c r="E12" s="11">
        <v>22</v>
      </c>
      <c r="F12" s="11" t="s">
        <v>69</v>
      </c>
    </row>
    <row r="13" spans="1:6" x14ac:dyDescent="0.35">
      <c r="A13" s="8" t="s">
        <v>81</v>
      </c>
      <c r="B13" s="15">
        <v>45920</v>
      </c>
      <c r="C13" s="8" t="s">
        <v>18</v>
      </c>
      <c r="D13" s="8" t="s">
        <v>71</v>
      </c>
      <c r="E13" s="8">
        <v>12</v>
      </c>
      <c r="F13" s="8" t="s">
        <v>69</v>
      </c>
    </row>
    <row r="14" spans="1:6" x14ac:dyDescent="0.35">
      <c r="A14" s="11" t="s">
        <v>82</v>
      </c>
      <c r="B14" s="16">
        <v>45920</v>
      </c>
      <c r="C14" s="11" t="s">
        <v>18</v>
      </c>
      <c r="D14" s="11" t="s">
        <v>73</v>
      </c>
      <c r="E14" s="11">
        <v>19</v>
      </c>
      <c r="F14" s="11" t="s">
        <v>69</v>
      </c>
    </row>
    <row r="15" spans="1:6" x14ac:dyDescent="0.35">
      <c r="A15" s="8" t="s">
        <v>83</v>
      </c>
      <c r="B15" s="15">
        <v>45920</v>
      </c>
      <c r="C15" s="8" t="s">
        <v>22</v>
      </c>
      <c r="D15" s="8" t="s">
        <v>68</v>
      </c>
      <c r="E15" s="8">
        <v>55</v>
      </c>
      <c r="F15" s="8" t="s">
        <v>69</v>
      </c>
    </row>
    <row r="16" spans="1:6" x14ac:dyDescent="0.35">
      <c r="A16" s="11" t="s">
        <v>84</v>
      </c>
      <c r="B16" s="16">
        <v>45920</v>
      </c>
      <c r="C16" s="11" t="s">
        <v>22</v>
      </c>
      <c r="D16" s="11" t="s">
        <v>71</v>
      </c>
      <c r="E16" s="11">
        <v>48</v>
      </c>
      <c r="F16" s="11" t="s">
        <v>69</v>
      </c>
    </row>
    <row r="17" spans="1:6" x14ac:dyDescent="0.35">
      <c r="A17" s="8" t="s">
        <v>85</v>
      </c>
      <c r="B17" s="15">
        <v>45920</v>
      </c>
      <c r="C17" s="8" t="s">
        <v>22</v>
      </c>
      <c r="D17" s="8" t="s">
        <v>73</v>
      </c>
      <c r="E17" s="8">
        <v>31</v>
      </c>
      <c r="F17" s="8" t="s">
        <v>69</v>
      </c>
    </row>
    <row r="18" spans="1:6" x14ac:dyDescent="0.35">
      <c r="A18" s="11" t="s">
        <v>86</v>
      </c>
      <c r="B18" s="16">
        <v>45920</v>
      </c>
      <c r="C18" s="11" t="s">
        <v>25</v>
      </c>
      <c r="D18" s="11" t="s">
        <v>68</v>
      </c>
      <c r="E18" s="11">
        <v>35</v>
      </c>
      <c r="F18" s="11" t="s">
        <v>69</v>
      </c>
    </row>
    <row r="19" spans="1:6" x14ac:dyDescent="0.35">
      <c r="A19" s="8" t="s">
        <v>87</v>
      </c>
      <c r="B19" s="15">
        <v>45920</v>
      </c>
      <c r="C19" s="8" t="s">
        <v>25</v>
      </c>
      <c r="D19" s="8" t="s">
        <v>71</v>
      </c>
      <c r="E19" s="8">
        <v>40</v>
      </c>
      <c r="F19" s="8" t="s">
        <v>69</v>
      </c>
    </row>
    <row r="20" spans="1:6" x14ac:dyDescent="0.35">
      <c r="A20" s="11" t="s">
        <v>88</v>
      </c>
      <c r="B20" s="16">
        <v>45920</v>
      </c>
      <c r="C20" s="11" t="s">
        <v>25</v>
      </c>
      <c r="D20" s="11" t="s">
        <v>73</v>
      </c>
      <c r="E20" s="11">
        <v>28</v>
      </c>
      <c r="F20" s="11" t="s">
        <v>69</v>
      </c>
    </row>
    <row r="21" spans="1:6" x14ac:dyDescent="0.35">
      <c r="A21" s="8" t="s">
        <v>89</v>
      </c>
      <c r="B21" s="15">
        <v>45920</v>
      </c>
      <c r="C21" s="8" t="s">
        <v>29</v>
      </c>
      <c r="D21" s="8" t="s">
        <v>68</v>
      </c>
      <c r="E21" s="8">
        <v>38</v>
      </c>
      <c r="F21" s="8" t="s">
        <v>69</v>
      </c>
    </row>
    <row r="22" spans="1:6" x14ac:dyDescent="0.35">
      <c r="A22" s="11" t="s">
        <v>90</v>
      </c>
      <c r="B22" s="16">
        <v>45920</v>
      </c>
      <c r="C22" s="11" t="s">
        <v>29</v>
      </c>
      <c r="D22" s="11" t="s">
        <v>71</v>
      </c>
      <c r="E22" s="11">
        <v>5</v>
      </c>
      <c r="F22" s="11" t="s">
        <v>69</v>
      </c>
    </row>
    <row r="23" spans="1:6" x14ac:dyDescent="0.35">
      <c r="A23" s="8" t="s">
        <v>91</v>
      </c>
      <c r="B23" s="15">
        <v>45920</v>
      </c>
      <c r="C23" s="8" t="s">
        <v>29</v>
      </c>
      <c r="D23" s="8" t="s">
        <v>73</v>
      </c>
      <c r="E23" s="8">
        <v>2</v>
      </c>
      <c r="F23" s="8" t="s">
        <v>69</v>
      </c>
    </row>
    <row r="24" spans="1:6" x14ac:dyDescent="0.35">
      <c r="A24" s="11" t="s">
        <v>92</v>
      </c>
      <c r="B24" s="16">
        <v>45920</v>
      </c>
      <c r="C24" s="11" t="s">
        <v>33</v>
      </c>
      <c r="D24" s="11" t="s">
        <v>68</v>
      </c>
      <c r="E24" s="11">
        <v>22</v>
      </c>
      <c r="F24" s="11" t="s">
        <v>69</v>
      </c>
    </row>
    <row r="25" spans="1:6" x14ac:dyDescent="0.35">
      <c r="A25" s="8" t="s">
        <v>93</v>
      </c>
      <c r="B25" s="15">
        <v>45920</v>
      </c>
      <c r="C25" s="8" t="s">
        <v>33</v>
      </c>
      <c r="D25" s="8" t="s">
        <v>71</v>
      </c>
      <c r="E25" s="8">
        <v>17</v>
      </c>
      <c r="F25" s="8" t="s">
        <v>69</v>
      </c>
    </row>
    <row r="26" spans="1:6" x14ac:dyDescent="0.35">
      <c r="A26" s="11" t="s">
        <v>94</v>
      </c>
      <c r="B26" s="16">
        <v>45920</v>
      </c>
      <c r="C26" s="11" t="s">
        <v>33</v>
      </c>
      <c r="D26" s="11" t="s">
        <v>73</v>
      </c>
      <c r="E26" s="11">
        <v>20</v>
      </c>
      <c r="F26" s="11" t="s">
        <v>69</v>
      </c>
    </row>
    <row r="27" spans="1:6" x14ac:dyDescent="0.35">
      <c r="A27" s="8" t="s">
        <v>95</v>
      </c>
      <c r="B27" s="15">
        <v>45920</v>
      </c>
      <c r="C27" s="8" t="s">
        <v>36</v>
      </c>
      <c r="D27" s="8" t="s">
        <v>68</v>
      </c>
      <c r="E27" s="8">
        <v>12</v>
      </c>
      <c r="F27" s="8" t="s">
        <v>69</v>
      </c>
    </row>
    <row r="28" spans="1:6" x14ac:dyDescent="0.35">
      <c r="A28" s="11" t="s">
        <v>96</v>
      </c>
      <c r="B28" s="16">
        <v>45920</v>
      </c>
      <c r="C28" s="11" t="s">
        <v>36</v>
      </c>
      <c r="D28" s="11" t="s">
        <v>71</v>
      </c>
      <c r="E28" s="11">
        <v>4</v>
      </c>
      <c r="F28" s="11" t="s">
        <v>69</v>
      </c>
    </row>
    <row r="29" spans="1:6" x14ac:dyDescent="0.35">
      <c r="A29" s="8" t="s">
        <v>97</v>
      </c>
      <c r="B29" s="15">
        <v>45920</v>
      </c>
      <c r="C29" s="8" t="s">
        <v>36</v>
      </c>
      <c r="D29" s="8" t="s">
        <v>73</v>
      </c>
      <c r="E29" s="8">
        <v>9</v>
      </c>
      <c r="F29" s="8" t="s">
        <v>69</v>
      </c>
    </row>
    <row r="30" spans="1:6" x14ac:dyDescent="0.35">
      <c r="A30" s="11" t="s">
        <v>98</v>
      </c>
      <c r="B30" s="16">
        <v>45920</v>
      </c>
      <c r="C30" s="11" t="s">
        <v>38</v>
      </c>
      <c r="D30" s="11" t="s">
        <v>68</v>
      </c>
      <c r="E30" s="11">
        <v>20</v>
      </c>
      <c r="F30" s="11" t="s">
        <v>69</v>
      </c>
    </row>
    <row r="31" spans="1:6" x14ac:dyDescent="0.35">
      <c r="A31" s="8" t="s">
        <v>99</v>
      </c>
      <c r="B31" s="15">
        <v>45920</v>
      </c>
      <c r="C31" s="8" t="s">
        <v>38</v>
      </c>
      <c r="D31" s="8" t="s">
        <v>71</v>
      </c>
      <c r="E31" s="8">
        <v>18</v>
      </c>
      <c r="F31" s="8" t="s">
        <v>69</v>
      </c>
    </row>
    <row r="32" spans="1:6" x14ac:dyDescent="0.35">
      <c r="A32" s="11" t="s">
        <v>100</v>
      </c>
      <c r="B32" s="16">
        <v>45920</v>
      </c>
      <c r="C32" s="11" t="s">
        <v>38</v>
      </c>
      <c r="D32" s="11" t="s">
        <v>73</v>
      </c>
      <c r="E32" s="11">
        <v>14</v>
      </c>
      <c r="F32" s="11" t="s">
        <v>69</v>
      </c>
    </row>
    <row r="33" spans="1:6" x14ac:dyDescent="0.35">
      <c r="A33" s="8" t="s">
        <v>101</v>
      </c>
      <c r="B33" s="15">
        <v>45920</v>
      </c>
      <c r="C33" s="8" t="s">
        <v>40</v>
      </c>
      <c r="D33" s="8" t="s">
        <v>68</v>
      </c>
      <c r="E33" s="8">
        <v>16</v>
      </c>
      <c r="F33" s="8" t="s">
        <v>69</v>
      </c>
    </row>
    <row r="34" spans="1:6" x14ac:dyDescent="0.35">
      <c r="A34" s="11" t="s">
        <v>102</v>
      </c>
      <c r="B34" s="16">
        <v>45920</v>
      </c>
      <c r="C34" s="11" t="s">
        <v>40</v>
      </c>
      <c r="D34" s="11" t="s">
        <v>71</v>
      </c>
      <c r="E34" s="11">
        <v>14</v>
      </c>
      <c r="F34" s="11" t="s">
        <v>69</v>
      </c>
    </row>
    <row r="35" spans="1:6" x14ac:dyDescent="0.35">
      <c r="A35" s="8" t="s">
        <v>103</v>
      </c>
      <c r="B35" s="15">
        <v>45920</v>
      </c>
      <c r="C35" s="8" t="s">
        <v>40</v>
      </c>
      <c r="D35" s="8" t="s">
        <v>73</v>
      </c>
      <c r="E35" s="8">
        <v>12</v>
      </c>
      <c r="F35" s="8" t="s">
        <v>69</v>
      </c>
    </row>
    <row r="36" spans="1:6" x14ac:dyDescent="0.35">
      <c r="A36" s="11" t="s">
        <v>104</v>
      </c>
      <c r="B36" s="16">
        <v>45920</v>
      </c>
      <c r="C36" s="11" t="s">
        <v>42</v>
      </c>
      <c r="D36" s="11" t="s">
        <v>68</v>
      </c>
      <c r="E36" s="11">
        <v>60</v>
      </c>
      <c r="F36" s="11" t="s">
        <v>69</v>
      </c>
    </row>
    <row r="37" spans="1:6" x14ac:dyDescent="0.35">
      <c r="A37" s="8" t="s">
        <v>105</v>
      </c>
      <c r="B37" s="15">
        <v>45920</v>
      </c>
      <c r="C37" s="8" t="s">
        <v>42</v>
      </c>
      <c r="D37" s="8" t="s">
        <v>71</v>
      </c>
      <c r="E37" s="8">
        <v>45</v>
      </c>
      <c r="F37" s="8" t="s">
        <v>69</v>
      </c>
    </row>
    <row r="38" spans="1:6" x14ac:dyDescent="0.35">
      <c r="A38" s="11" t="s">
        <v>106</v>
      </c>
      <c r="B38" s="16">
        <v>45920</v>
      </c>
      <c r="C38" s="11" t="s">
        <v>42</v>
      </c>
      <c r="D38" s="11" t="s">
        <v>73</v>
      </c>
      <c r="E38" s="11">
        <v>33</v>
      </c>
      <c r="F38" s="11" t="s">
        <v>69</v>
      </c>
    </row>
    <row r="39" spans="1:6" x14ac:dyDescent="0.35">
      <c r="A39" s="8" t="s">
        <v>107</v>
      </c>
      <c r="B39" s="15">
        <v>45920</v>
      </c>
      <c r="C39" s="8" t="s">
        <v>44</v>
      </c>
      <c r="D39" s="8" t="s">
        <v>68</v>
      </c>
      <c r="E39" s="8">
        <v>28</v>
      </c>
      <c r="F39" s="8" t="s">
        <v>69</v>
      </c>
    </row>
    <row r="40" spans="1:6" x14ac:dyDescent="0.35">
      <c r="A40" s="11" t="s">
        <v>108</v>
      </c>
      <c r="B40" s="16">
        <v>45920</v>
      </c>
      <c r="C40" s="11" t="s">
        <v>44</v>
      </c>
      <c r="D40" s="11" t="s">
        <v>71</v>
      </c>
      <c r="E40" s="11">
        <v>20</v>
      </c>
      <c r="F40" s="11" t="s">
        <v>69</v>
      </c>
    </row>
    <row r="41" spans="1:6" x14ac:dyDescent="0.35">
      <c r="A41" s="8" t="s">
        <v>109</v>
      </c>
      <c r="B41" s="15">
        <v>45920</v>
      </c>
      <c r="C41" s="8" t="s">
        <v>44</v>
      </c>
      <c r="D41" s="8" t="s">
        <v>73</v>
      </c>
      <c r="E41" s="8">
        <v>10</v>
      </c>
      <c r="F41" s="8" t="s">
        <v>69</v>
      </c>
    </row>
    <row r="42" spans="1:6" x14ac:dyDescent="0.35">
      <c r="A42" s="11" t="s">
        <v>110</v>
      </c>
      <c r="B42" s="16">
        <v>45920</v>
      </c>
      <c r="C42" s="11" t="s">
        <v>46</v>
      </c>
      <c r="D42" s="11" t="s">
        <v>68</v>
      </c>
      <c r="E42" s="11">
        <v>14</v>
      </c>
      <c r="F42" s="11" t="s">
        <v>69</v>
      </c>
    </row>
    <row r="43" spans="1:6" x14ac:dyDescent="0.35">
      <c r="A43" s="8" t="s">
        <v>111</v>
      </c>
      <c r="B43" s="15">
        <v>45920</v>
      </c>
      <c r="C43" s="8" t="s">
        <v>46</v>
      </c>
      <c r="D43" s="8" t="s">
        <v>71</v>
      </c>
      <c r="E43" s="8">
        <v>10</v>
      </c>
      <c r="F43" s="8" t="s">
        <v>69</v>
      </c>
    </row>
    <row r="44" spans="1:6" x14ac:dyDescent="0.35">
      <c r="A44" s="11" t="s">
        <v>112</v>
      </c>
      <c r="B44" s="16">
        <v>45920</v>
      </c>
      <c r="C44" s="11" t="s">
        <v>46</v>
      </c>
      <c r="D44" s="11" t="s">
        <v>73</v>
      </c>
      <c r="E44" s="11">
        <v>8</v>
      </c>
      <c r="F44" s="11" t="s">
        <v>69</v>
      </c>
    </row>
    <row r="45" spans="1:6" x14ac:dyDescent="0.35">
      <c r="A45" s="8" t="s">
        <v>113</v>
      </c>
      <c r="B45" s="15">
        <v>45920</v>
      </c>
      <c r="C45" s="8" t="s">
        <v>48</v>
      </c>
      <c r="D45" s="8" t="s">
        <v>68</v>
      </c>
      <c r="E45" s="8">
        <v>22</v>
      </c>
      <c r="F45" s="8" t="s">
        <v>69</v>
      </c>
    </row>
    <row r="46" spans="1:6" x14ac:dyDescent="0.35">
      <c r="A46" s="11" t="s">
        <v>114</v>
      </c>
      <c r="B46" s="16">
        <v>45920</v>
      </c>
      <c r="C46" s="11" t="s">
        <v>48</v>
      </c>
      <c r="D46" s="11" t="s">
        <v>71</v>
      </c>
      <c r="E46" s="11">
        <v>18</v>
      </c>
      <c r="F46" s="11" t="s">
        <v>69</v>
      </c>
    </row>
    <row r="47" spans="1:6" x14ac:dyDescent="0.35">
      <c r="A47" s="8" t="s">
        <v>115</v>
      </c>
      <c r="B47" s="15">
        <v>45920</v>
      </c>
      <c r="C47" s="8" t="s">
        <v>48</v>
      </c>
      <c r="D47" s="8" t="s">
        <v>73</v>
      </c>
      <c r="E47" s="8">
        <v>16</v>
      </c>
      <c r="F47" s="8" t="s">
        <v>69</v>
      </c>
    </row>
    <row r="48" spans="1:6" x14ac:dyDescent="0.35">
      <c r="A48" s="11" t="s">
        <v>116</v>
      </c>
      <c r="B48" s="16">
        <v>45920</v>
      </c>
      <c r="C48" s="11" t="s">
        <v>50</v>
      </c>
      <c r="D48" s="11" t="s">
        <v>68</v>
      </c>
      <c r="E48" s="11">
        <v>18</v>
      </c>
      <c r="F48" s="11" t="s">
        <v>69</v>
      </c>
    </row>
    <row r="49" spans="1:6" x14ac:dyDescent="0.35">
      <c r="A49" s="8" t="s">
        <v>117</v>
      </c>
      <c r="B49" s="15">
        <v>45920</v>
      </c>
      <c r="C49" s="8" t="s">
        <v>50</v>
      </c>
      <c r="D49" s="8" t="s">
        <v>71</v>
      </c>
      <c r="E49" s="8">
        <v>14</v>
      </c>
      <c r="F49" s="8" t="s">
        <v>69</v>
      </c>
    </row>
    <row r="50" spans="1:6" x14ac:dyDescent="0.35">
      <c r="A50" s="11" t="s">
        <v>118</v>
      </c>
      <c r="B50" s="16">
        <v>45920</v>
      </c>
      <c r="C50" s="11" t="s">
        <v>50</v>
      </c>
      <c r="D50" s="11" t="s">
        <v>73</v>
      </c>
      <c r="E50" s="11">
        <v>13</v>
      </c>
      <c r="F50" s="11" t="s">
        <v>69</v>
      </c>
    </row>
    <row r="51" spans="1:6" x14ac:dyDescent="0.35">
      <c r="A51" s="8" t="s">
        <v>119</v>
      </c>
      <c r="B51" s="15">
        <v>45920</v>
      </c>
      <c r="C51" s="8" t="s">
        <v>52</v>
      </c>
      <c r="D51" s="8" t="s">
        <v>68</v>
      </c>
      <c r="E51" s="8">
        <v>12</v>
      </c>
      <c r="F51" s="8" t="s">
        <v>69</v>
      </c>
    </row>
    <row r="52" spans="1:6" x14ac:dyDescent="0.35">
      <c r="A52" s="11" t="s">
        <v>120</v>
      </c>
      <c r="B52" s="16">
        <v>45920</v>
      </c>
      <c r="C52" s="11" t="s">
        <v>52</v>
      </c>
      <c r="D52" s="11" t="s">
        <v>71</v>
      </c>
      <c r="E52" s="11">
        <v>8</v>
      </c>
      <c r="F52" s="11" t="s">
        <v>69</v>
      </c>
    </row>
    <row r="53" spans="1:6" x14ac:dyDescent="0.35">
      <c r="A53" s="8" t="s">
        <v>121</v>
      </c>
      <c r="B53" s="15">
        <v>45920</v>
      </c>
      <c r="C53" s="8" t="s">
        <v>52</v>
      </c>
      <c r="D53" s="8" t="s">
        <v>73</v>
      </c>
      <c r="E53" s="8">
        <v>6</v>
      </c>
      <c r="F53" s="8" t="s">
        <v>69</v>
      </c>
    </row>
    <row r="54" spans="1:6" x14ac:dyDescent="0.35">
      <c r="A54" s="11" t="s">
        <v>122</v>
      </c>
      <c r="B54" s="16">
        <v>45920</v>
      </c>
      <c r="C54" s="11" t="s">
        <v>54</v>
      </c>
      <c r="D54" s="11" t="s">
        <v>68</v>
      </c>
      <c r="E54" s="11">
        <v>35</v>
      </c>
      <c r="F54" s="11" t="s">
        <v>69</v>
      </c>
    </row>
    <row r="55" spans="1:6" x14ac:dyDescent="0.35">
      <c r="A55" s="8" t="s">
        <v>123</v>
      </c>
      <c r="B55" s="15">
        <v>45920</v>
      </c>
      <c r="C55" s="8" t="s">
        <v>54</v>
      </c>
      <c r="D55" s="8" t="s">
        <v>71</v>
      </c>
      <c r="E55" s="8">
        <v>28</v>
      </c>
      <c r="F55" s="8" t="s">
        <v>69</v>
      </c>
    </row>
    <row r="56" spans="1:6" x14ac:dyDescent="0.35">
      <c r="A56" s="11" t="s">
        <v>124</v>
      </c>
      <c r="B56" s="16">
        <v>45920</v>
      </c>
      <c r="C56" s="11" t="s">
        <v>54</v>
      </c>
      <c r="D56" s="11" t="s">
        <v>73</v>
      </c>
      <c r="E56" s="11">
        <v>22</v>
      </c>
      <c r="F56" s="11" t="s">
        <v>69</v>
      </c>
    </row>
    <row r="57" spans="1:6" x14ac:dyDescent="0.35">
      <c r="A57" s="8" t="s">
        <v>125</v>
      </c>
      <c r="B57" s="15">
        <v>45920</v>
      </c>
      <c r="C57" s="8" t="s">
        <v>56</v>
      </c>
      <c r="D57" s="8" t="s">
        <v>68</v>
      </c>
      <c r="E57" s="8">
        <v>14</v>
      </c>
      <c r="F57" s="8" t="s">
        <v>69</v>
      </c>
    </row>
    <row r="58" spans="1:6" x14ac:dyDescent="0.35">
      <c r="A58" s="11" t="s">
        <v>126</v>
      </c>
      <c r="B58" s="16">
        <v>45920</v>
      </c>
      <c r="C58" s="11" t="s">
        <v>56</v>
      </c>
      <c r="D58" s="11" t="s">
        <v>71</v>
      </c>
      <c r="E58" s="11">
        <v>10</v>
      </c>
      <c r="F58" s="11" t="s">
        <v>69</v>
      </c>
    </row>
    <row r="59" spans="1:6" x14ac:dyDescent="0.35">
      <c r="A59" s="8" t="s">
        <v>127</v>
      </c>
      <c r="B59" s="15">
        <v>45920</v>
      </c>
      <c r="C59" s="8" t="s">
        <v>56</v>
      </c>
      <c r="D59" s="8" t="s">
        <v>73</v>
      </c>
      <c r="E59" s="8">
        <v>8</v>
      </c>
      <c r="F59" s="8" t="s">
        <v>69</v>
      </c>
    </row>
    <row r="60" spans="1:6" x14ac:dyDescent="0.35">
      <c r="A60" s="11" t="s">
        <v>128</v>
      </c>
      <c r="B60" s="16">
        <v>45920</v>
      </c>
      <c r="C60" s="11" t="s">
        <v>58</v>
      </c>
      <c r="D60" s="11" t="s">
        <v>68</v>
      </c>
      <c r="E60" s="11">
        <v>18</v>
      </c>
      <c r="F60" s="11" t="s">
        <v>69</v>
      </c>
    </row>
    <row r="61" spans="1:6" x14ac:dyDescent="0.35">
      <c r="A61" s="8" t="s">
        <v>129</v>
      </c>
      <c r="B61" s="15">
        <v>45920</v>
      </c>
      <c r="C61" s="8" t="s">
        <v>58</v>
      </c>
      <c r="D61" s="8" t="s">
        <v>71</v>
      </c>
      <c r="E61" s="8">
        <v>14</v>
      </c>
      <c r="F61" s="8" t="s">
        <v>69</v>
      </c>
    </row>
    <row r="62" spans="1:6" x14ac:dyDescent="0.35">
      <c r="A62" s="11" t="s">
        <v>130</v>
      </c>
      <c r="B62" s="16">
        <v>45920</v>
      </c>
      <c r="C62" s="11" t="s">
        <v>58</v>
      </c>
      <c r="D62" s="11" t="s">
        <v>73</v>
      </c>
      <c r="E62" s="11">
        <v>9</v>
      </c>
      <c r="F62" s="11" t="s">
        <v>69</v>
      </c>
    </row>
    <row r="63" spans="1:6" x14ac:dyDescent="0.35">
      <c r="A63" s="8" t="s">
        <v>131</v>
      </c>
      <c r="B63" s="15">
        <v>45921</v>
      </c>
      <c r="C63" s="8" t="s">
        <v>6</v>
      </c>
      <c r="D63" s="8" t="s">
        <v>68</v>
      </c>
      <c r="E63" s="8">
        <v>-5</v>
      </c>
      <c r="F63" s="17" t="s">
        <v>132</v>
      </c>
    </row>
    <row r="64" spans="1:6" x14ac:dyDescent="0.35">
      <c r="A64" s="11" t="s">
        <v>133</v>
      </c>
      <c r="B64" s="16">
        <v>45921</v>
      </c>
      <c r="C64" s="11" t="s">
        <v>18</v>
      </c>
      <c r="D64" s="11" t="s">
        <v>71</v>
      </c>
      <c r="E64" s="11">
        <v>-8</v>
      </c>
      <c r="F64" s="17" t="s">
        <v>132</v>
      </c>
    </row>
    <row r="65" spans="1:6" x14ac:dyDescent="0.35">
      <c r="A65" s="8" t="s">
        <v>134</v>
      </c>
      <c r="B65" s="15">
        <v>45921</v>
      </c>
      <c r="C65" s="8" t="s">
        <v>36</v>
      </c>
      <c r="D65" s="8" t="s">
        <v>73</v>
      </c>
      <c r="E65" s="8">
        <v>15</v>
      </c>
      <c r="F65" s="18" t="s">
        <v>135</v>
      </c>
    </row>
    <row r="66" spans="1:6" x14ac:dyDescent="0.35">
      <c r="A66" s="11" t="s">
        <v>136</v>
      </c>
      <c r="B66" s="16">
        <v>45922</v>
      </c>
      <c r="C66" s="11" t="s">
        <v>10</v>
      </c>
      <c r="D66" s="11" t="s">
        <v>68</v>
      </c>
      <c r="E66" s="11">
        <v>20</v>
      </c>
      <c r="F66" s="18" t="s">
        <v>135</v>
      </c>
    </row>
    <row r="67" spans="1:6" x14ac:dyDescent="0.35">
      <c r="A67" s="8" t="s">
        <v>137</v>
      </c>
      <c r="B67" s="15">
        <v>45922</v>
      </c>
      <c r="C67" s="8" t="s">
        <v>14</v>
      </c>
      <c r="D67" s="8" t="s">
        <v>68</v>
      </c>
      <c r="E67" s="8">
        <v>-4</v>
      </c>
      <c r="F67" s="17" t="s">
        <v>132</v>
      </c>
    </row>
    <row r="68" spans="1:6" x14ac:dyDescent="0.35">
      <c r="A68" s="11" t="s">
        <v>138</v>
      </c>
      <c r="B68" s="16">
        <v>45922</v>
      </c>
      <c r="C68" s="11" t="s">
        <v>38</v>
      </c>
      <c r="D68" s="11" t="s">
        <v>71</v>
      </c>
      <c r="E68" s="11">
        <v>-3</v>
      </c>
      <c r="F68" s="17" t="s">
        <v>132</v>
      </c>
    </row>
    <row r="69" spans="1:6" x14ac:dyDescent="0.35">
      <c r="A69" s="8" t="s">
        <v>139</v>
      </c>
      <c r="B69" s="15">
        <v>45923</v>
      </c>
      <c r="C69" s="8" t="s">
        <v>25</v>
      </c>
      <c r="D69" s="8" t="s">
        <v>71</v>
      </c>
      <c r="E69" s="8">
        <v>-5</v>
      </c>
      <c r="F69" s="17" t="s">
        <v>132</v>
      </c>
    </row>
    <row r="70" spans="1:6" x14ac:dyDescent="0.35">
      <c r="A70" s="11" t="s">
        <v>140</v>
      </c>
      <c r="B70" s="16">
        <v>45923</v>
      </c>
      <c r="C70" s="11" t="s">
        <v>29</v>
      </c>
      <c r="D70" s="11" t="s">
        <v>68</v>
      </c>
      <c r="E70" s="11">
        <v>-2</v>
      </c>
      <c r="F70" s="17" t="s">
        <v>132</v>
      </c>
    </row>
    <row r="71" spans="1:6" x14ac:dyDescent="0.35">
      <c r="A71" s="8" t="s">
        <v>141</v>
      </c>
      <c r="B71" s="15">
        <v>45923</v>
      </c>
      <c r="C71" s="8" t="s">
        <v>42</v>
      </c>
      <c r="D71" s="8" t="s">
        <v>73</v>
      </c>
      <c r="E71" s="8">
        <v>-6</v>
      </c>
      <c r="F71" s="17" t="s">
        <v>132</v>
      </c>
    </row>
    <row r="72" spans="1:6" x14ac:dyDescent="0.35">
      <c r="A72" s="11" t="s">
        <v>142</v>
      </c>
      <c r="B72" s="16">
        <v>45924</v>
      </c>
      <c r="C72" s="11" t="s">
        <v>46</v>
      </c>
      <c r="D72" s="11" t="s">
        <v>71</v>
      </c>
      <c r="E72" s="11">
        <v>15</v>
      </c>
      <c r="F72" s="18" t="s">
        <v>135</v>
      </c>
    </row>
    <row r="73" spans="1:6" x14ac:dyDescent="0.35">
      <c r="A73" s="8" t="s">
        <v>143</v>
      </c>
      <c r="B73" s="15">
        <v>45924</v>
      </c>
      <c r="C73" s="8" t="s">
        <v>50</v>
      </c>
      <c r="D73" s="8" t="s">
        <v>68</v>
      </c>
      <c r="E73" s="8">
        <v>-4</v>
      </c>
      <c r="F73" s="17" t="s">
        <v>132</v>
      </c>
    </row>
    <row r="74" spans="1:6" x14ac:dyDescent="0.35">
      <c r="A74" s="11" t="s">
        <v>144</v>
      </c>
      <c r="B74" s="16">
        <v>45924</v>
      </c>
      <c r="C74" s="11" t="s">
        <v>56</v>
      </c>
      <c r="D74" s="11" t="s">
        <v>73</v>
      </c>
      <c r="E74" s="11">
        <v>-5</v>
      </c>
      <c r="F74" s="17" t="s">
        <v>132</v>
      </c>
    </row>
    <row r="75" spans="1:6" x14ac:dyDescent="0.35">
      <c r="A75" s="8" t="s">
        <v>145</v>
      </c>
      <c r="B75" s="15">
        <v>45925</v>
      </c>
      <c r="C75" s="8" t="s">
        <v>44</v>
      </c>
      <c r="D75" s="8" t="s">
        <v>71</v>
      </c>
      <c r="E75" s="8">
        <v>-7</v>
      </c>
      <c r="F75" s="17" t="s">
        <v>132</v>
      </c>
    </row>
    <row r="76" spans="1:6" x14ac:dyDescent="0.35">
      <c r="A76" s="11" t="s">
        <v>146</v>
      </c>
      <c r="B76" s="16">
        <v>45925</v>
      </c>
      <c r="C76" s="11" t="s">
        <v>54</v>
      </c>
      <c r="D76" s="11" t="s">
        <v>68</v>
      </c>
      <c r="E76" s="11">
        <v>18</v>
      </c>
      <c r="F76" s="18" t="s">
        <v>135</v>
      </c>
    </row>
    <row r="77" spans="1:6" x14ac:dyDescent="0.35">
      <c r="A77" s="8" t="s">
        <v>147</v>
      </c>
      <c r="B77" s="15">
        <v>45925</v>
      </c>
      <c r="C77" s="8" t="s">
        <v>58</v>
      </c>
      <c r="D77" s="8" t="s">
        <v>73</v>
      </c>
      <c r="E77" s="8">
        <v>-3</v>
      </c>
      <c r="F77" s="17" t="s">
        <v>132</v>
      </c>
    </row>
    <row r="78" spans="1:6" x14ac:dyDescent="0.35">
      <c r="A78" s="11" t="s">
        <v>148</v>
      </c>
      <c r="B78" s="16">
        <v>45926</v>
      </c>
      <c r="C78" s="11" t="s">
        <v>22</v>
      </c>
      <c r="D78" s="11" t="s">
        <v>68</v>
      </c>
      <c r="E78" s="11">
        <v>-9</v>
      </c>
      <c r="F78" s="17" t="s">
        <v>132</v>
      </c>
    </row>
    <row r="79" spans="1:6" x14ac:dyDescent="0.35">
      <c r="A79" s="8" t="s">
        <v>149</v>
      </c>
      <c r="B79" s="15">
        <v>45926</v>
      </c>
      <c r="C79" s="8" t="s">
        <v>33</v>
      </c>
      <c r="D79" s="8" t="s">
        <v>71</v>
      </c>
      <c r="E79" s="8">
        <v>-6</v>
      </c>
      <c r="F79" s="17" t="s">
        <v>132</v>
      </c>
    </row>
    <row r="80" spans="1:6" x14ac:dyDescent="0.35">
      <c r="A80" s="11" t="s">
        <v>150</v>
      </c>
      <c r="B80" s="16">
        <v>45926</v>
      </c>
      <c r="C80" s="11" t="s">
        <v>40</v>
      </c>
      <c r="D80" s="11" t="s">
        <v>73</v>
      </c>
      <c r="E80" s="11">
        <v>20</v>
      </c>
      <c r="F80" s="18" t="s">
        <v>135</v>
      </c>
    </row>
    <row r="81" spans="1:6" x14ac:dyDescent="0.35">
      <c r="A81" s="8" t="s">
        <v>151</v>
      </c>
      <c r="B81" s="15">
        <v>45927</v>
      </c>
      <c r="C81" s="8" t="s">
        <v>48</v>
      </c>
      <c r="D81" s="8" t="s">
        <v>68</v>
      </c>
      <c r="E81" s="8">
        <v>-4</v>
      </c>
      <c r="F81" s="17" t="s">
        <v>132</v>
      </c>
    </row>
    <row r="82" spans="1:6" x14ac:dyDescent="0.35">
      <c r="A82" s="11" t="s">
        <v>152</v>
      </c>
      <c r="B82" s="16">
        <v>45927</v>
      </c>
      <c r="C82" s="11" t="s">
        <v>52</v>
      </c>
      <c r="D82" s="11" t="s">
        <v>71</v>
      </c>
      <c r="E82" s="11">
        <v>-5</v>
      </c>
      <c r="F82" s="17" t="s">
        <v>132</v>
      </c>
    </row>
    <row r="83" spans="1:6" x14ac:dyDescent="0.35">
      <c r="A83" s="8" t="s">
        <v>153</v>
      </c>
      <c r="B83" s="15">
        <v>45930</v>
      </c>
      <c r="C83" s="8" t="s">
        <v>10</v>
      </c>
      <c r="D83" s="8" t="s">
        <v>73</v>
      </c>
      <c r="E83" s="8">
        <v>12</v>
      </c>
      <c r="F83" s="18" t="s">
        <v>135</v>
      </c>
    </row>
  </sheetData>
  <mergeCells count="1">
    <mergeCell ref="A1:F1"/>
  </mergeCells>
  <dataValidations count="1">
    <dataValidation type="list" allowBlank="1" showInputMessage="1" showErrorMessage="1" sqref="F3:F83" xr:uid="{1FE71E58-EAD5-4324-B7A9-6E7577587CE7}">
      <formula1>$F$3:$F$83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zoomScaleNormal="100" workbookViewId="0">
      <pane ySplit="2" topLeftCell="A3" activePane="bottomLeft" state="frozen"/>
      <selection pane="bottomLeft" activeCell="G10" sqref="G10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26" customWidth="1"/>
    <col min="4" max="4" width="22" customWidth="1"/>
    <col min="5" max="5" width="14" customWidth="1"/>
    <col min="6" max="6" width="15" customWidth="1"/>
    <col min="7" max="7" width="14" customWidth="1"/>
    <col min="8" max="8" width="16" customWidth="1"/>
    <col min="9" max="9" width="15" customWidth="1"/>
    <col min="10" max="10" width="14" style="52" customWidth="1"/>
  </cols>
  <sheetData>
    <row r="1" spans="1:10" ht="31.5" customHeight="1" x14ac:dyDescent="0.35">
      <c r="A1" s="49" t="s">
        <v>181</v>
      </c>
      <c r="B1" s="6"/>
      <c r="C1" s="6"/>
      <c r="E1" s="19" t="s">
        <v>154</v>
      </c>
      <c r="H1" s="48">
        <f>SUM(H3:H62)</f>
        <v>9430.5</v>
      </c>
      <c r="I1" s="20"/>
      <c r="J1" s="53"/>
    </row>
    <row r="2" spans="1:10" x14ac:dyDescent="0.35">
      <c r="A2" s="7" t="s">
        <v>64</v>
      </c>
      <c r="B2" s="7" t="s">
        <v>0</v>
      </c>
      <c r="C2" s="7" t="s">
        <v>1</v>
      </c>
      <c r="D2" s="7" t="s">
        <v>5</v>
      </c>
      <c r="E2" s="7" t="s">
        <v>3</v>
      </c>
      <c r="F2" s="7" t="s">
        <v>4</v>
      </c>
      <c r="G2" s="7" t="s">
        <v>155</v>
      </c>
      <c r="H2" s="7" t="s">
        <v>156</v>
      </c>
      <c r="I2" s="7" t="s">
        <v>157</v>
      </c>
      <c r="J2" s="7" t="s">
        <v>158</v>
      </c>
    </row>
    <row r="3" spans="1:10" x14ac:dyDescent="0.35">
      <c r="A3" s="8" t="s">
        <v>68</v>
      </c>
      <c r="B3" s="8" t="s">
        <v>6</v>
      </c>
      <c r="C3" s="21" t="str">
        <f>VLOOKUP(B3,Products!$A$3:$F$22,2,0)</f>
        <v>Thermal Coffee Mug</v>
      </c>
      <c r="D3" s="21" t="str">
        <f>VLOOKUP(B3,Products!$A$3:$F$22,6,0)</f>
        <v>NovaBrew Supplies</v>
      </c>
      <c r="E3" s="22">
        <f>VLOOKUP(B3,Products!$A$3:$F$22,4,0)</f>
        <v>9</v>
      </c>
      <c r="F3" s="23">
        <f>VLOOKUP(B3,Products!$A$3:$F$22,5,0)</f>
        <v>20</v>
      </c>
      <c r="G3" s="24">
        <f>SUMIFS(Transactions!$E$3:$E$83,Transactions!$C$3:$C$83,B3,Transactions!$D$3:$D$83,A3)</f>
        <v>37</v>
      </c>
      <c r="H3" s="22">
        <f>G3*E3</f>
        <v>333</v>
      </c>
      <c r="I3" s="24" t="s">
        <v>178</v>
      </c>
      <c r="J3" s="51" t="str">
        <f>IF(I3="Yes",IF(J3="",Order!$B$3,J3),"")</f>
        <v/>
      </c>
    </row>
    <row r="4" spans="1:10" x14ac:dyDescent="0.35">
      <c r="A4" s="11" t="s">
        <v>71</v>
      </c>
      <c r="B4" s="11" t="s">
        <v>6</v>
      </c>
      <c r="C4" s="25" t="str">
        <f>VLOOKUP(B4,Products!$A$3:$F$22,2,0)</f>
        <v>Thermal Coffee Mug</v>
      </c>
      <c r="D4" s="25" t="str">
        <f>VLOOKUP(B4,Products!$A$3:$F$22,6,0)</f>
        <v>NovaBrew Supplies</v>
      </c>
      <c r="E4" s="26">
        <f>VLOOKUP(B4,Products!$A$3:$F$22,4,0)</f>
        <v>9</v>
      </c>
      <c r="F4" s="27">
        <f>VLOOKUP(B4,Products!$A$3:$F$22,5,0)</f>
        <v>20</v>
      </c>
      <c r="G4" s="28">
        <f>SUMIFS(Transactions!$E$3:$E$83,Transactions!$C$3:$C$83,B4,Transactions!$D$3:$D$83,A4)</f>
        <v>25</v>
      </c>
      <c r="H4" s="26">
        <f t="shared" ref="H3:H34" si="0">G4*E4</f>
        <v>225</v>
      </c>
      <c r="I4" s="28" t="str">
        <f t="shared" ref="I3:I34" si="1">IF(G4&lt;=F4,"Yes","No")</f>
        <v>No</v>
      </c>
      <c r="J4" s="51" t="str">
        <f>IF(I4="Yes",IF(J4="",Order!$B$3,J4),"")</f>
        <v/>
      </c>
    </row>
    <row r="5" spans="1:10" x14ac:dyDescent="0.35">
      <c r="A5" s="8" t="s">
        <v>73</v>
      </c>
      <c r="B5" s="8" t="s">
        <v>6</v>
      </c>
      <c r="C5" s="21" t="str">
        <f>VLOOKUP(B5,Products!$A$3:$F$22,2,0)</f>
        <v>Thermal Coffee Mug</v>
      </c>
      <c r="D5" s="21" t="str">
        <f>VLOOKUP(B5,Products!$A$3:$F$22,6,0)</f>
        <v>NovaBrew Supplies</v>
      </c>
      <c r="E5" s="22">
        <f>VLOOKUP(B5,Products!$A$3:$F$22,4,0)</f>
        <v>9</v>
      </c>
      <c r="F5" s="23">
        <f>VLOOKUP(B5,Products!$A$3:$F$22,5,0)</f>
        <v>20</v>
      </c>
      <c r="G5" s="24">
        <f>SUMIFS(Transactions!$E$3:$E$83,Transactions!$C$3:$C$83,B5,Transactions!$D$3:$D$83,A5)</f>
        <v>38</v>
      </c>
      <c r="H5" s="22">
        <f t="shared" si="0"/>
        <v>342</v>
      </c>
      <c r="I5" s="24" t="str">
        <f t="shared" si="1"/>
        <v>No</v>
      </c>
      <c r="J5" s="51" t="str">
        <f>IF(I5="Yes",IF(J5="",Order!$B$3,J5),"")</f>
        <v/>
      </c>
    </row>
    <row r="6" spans="1:10" x14ac:dyDescent="0.35">
      <c r="A6" s="11" t="s">
        <v>68</v>
      </c>
      <c r="B6" s="11" t="s">
        <v>10</v>
      </c>
      <c r="C6" s="25" t="str">
        <f>VLOOKUP(B6,Products!$A$3:$F$22,2,0)</f>
        <v>Wireless Earbuds</v>
      </c>
      <c r="D6" s="25" t="str">
        <f>VLOOKUP(B6,Products!$A$3:$F$22,6,0)</f>
        <v>TechLink Distributors</v>
      </c>
      <c r="E6" s="26">
        <f>VLOOKUP(B6,Products!$A$3:$F$22,4,0)</f>
        <v>18.5</v>
      </c>
      <c r="F6" s="27">
        <f>VLOOKUP(B6,Products!$A$3:$F$22,5,0)</f>
        <v>15</v>
      </c>
      <c r="G6" s="28">
        <f>SUMIFS(Transactions!$E$3:$E$83,Transactions!$C$3:$C$83,B6,Transactions!$D$3:$D$83,A6)</f>
        <v>36</v>
      </c>
      <c r="H6" s="26">
        <f t="shared" si="0"/>
        <v>666</v>
      </c>
      <c r="I6" s="28" t="str">
        <f>IF(G6&lt;=F6,"Yes","No")</f>
        <v>No</v>
      </c>
      <c r="J6" s="51" t="str">
        <f>IF(I6="Yes",IF(J6="",Order!$B$3,J6),"")</f>
        <v/>
      </c>
    </row>
    <row r="7" spans="1:10" x14ac:dyDescent="0.35">
      <c r="A7" s="8" t="s">
        <v>71</v>
      </c>
      <c r="B7" s="8" t="s">
        <v>10</v>
      </c>
      <c r="C7" s="21" t="str">
        <f>VLOOKUP(B7,Products!$A$3:$F$22,2,0)</f>
        <v>Wireless Earbuds</v>
      </c>
      <c r="D7" s="21" t="str">
        <f>VLOOKUP(B7,Products!$A$3:$F$22,6,0)</f>
        <v>TechLink Distributors</v>
      </c>
      <c r="E7" s="22">
        <f>VLOOKUP(B7,Products!$A$3:$F$22,4,0)</f>
        <v>18.5</v>
      </c>
      <c r="F7" s="23">
        <f>VLOOKUP(B7,Products!$A$3:$F$22,5,0)</f>
        <v>15</v>
      </c>
      <c r="G7" s="24">
        <f>SUMIFS(Transactions!$E$3:$E$83,Transactions!$C$3:$C$83,B7,Transactions!$D$3:$D$83,A7)</f>
        <v>18</v>
      </c>
      <c r="H7" s="22">
        <f t="shared" si="0"/>
        <v>333</v>
      </c>
      <c r="I7" s="24" t="str">
        <f t="shared" si="1"/>
        <v>No</v>
      </c>
      <c r="J7" s="51" t="str">
        <f>IF(I7="Yes",IF(J7="",Order!$B$3,J7),"")</f>
        <v/>
      </c>
    </row>
    <row r="8" spans="1:10" x14ac:dyDescent="0.35">
      <c r="A8" s="11" t="s">
        <v>73</v>
      </c>
      <c r="B8" s="11" t="s">
        <v>10</v>
      </c>
      <c r="C8" s="25" t="str">
        <f>VLOOKUP(B8,Products!$A$3:$F$22,2,0)</f>
        <v>Wireless Earbuds</v>
      </c>
      <c r="D8" s="25" t="str">
        <f>VLOOKUP(B8,Products!$A$3:$F$22,6,0)</f>
        <v>TechLink Distributors</v>
      </c>
      <c r="E8" s="26">
        <f>VLOOKUP(B8,Products!$A$3:$F$22,4,0)</f>
        <v>18.5</v>
      </c>
      <c r="F8" s="27">
        <f>VLOOKUP(B8,Products!$A$3:$F$22,5,0)</f>
        <v>15</v>
      </c>
      <c r="G8" s="28">
        <f>SUMIFS(Transactions!$E$3:$E$83,Transactions!$C$3:$C$83,B8,Transactions!$D$3:$D$83,A8)</f>
        <v>22</v>
      </c>
      <c r="H8" s="26">
        <f t="shared" si="0"/>
        <v>407</v>
      </c>
      <c r="I8" s="28" t="str">
        <f t="shared" si="1"/>
        <v>No</v>
      </c>
      <c r="J8" s="51" t="str">
        <f>IF(I8="Yes",IF(J8="",Order!$B$3,J8),"")</f>
        <v/>
      </c>
    </row>
    <row r="9" spans="1:10" x14ac:dyDescent="0.35">
      <c r="A9" s="8" t="s">
        <v>68</v>
      </c>
      <c r="B9" s="8" t="s">
        <v>14</v>
      </c>
      <c r="C9" s="21" t="str">
        <f>VLOOKUP(B9,Products!$A$3:$F$22,2,0)</f>
        <v>Organic Lip Balm Set</v>
      </c>
      <c r="D9" s="21" t="str">
        <f>VLOOKUP(B9,Products!$A$3:$F$22,6,0)</f>
        <v>PureGlow Imports</v>
      </c>
      <c r="E9" s="22">
        <f>VLOOKUP(B9,Products!$A$3:$F$22,4,0)</f>
        <v>5</v>
      </c>
      <c r="F9" s="23">
        <f>VLOOKUP(B9,Products!$A$3:$F$22,5,0)</f>
        <v>25</v>
      </c>
      <c r="G9" s="24">
        <f>SUMIFS(Transactions!$E$3:$E$83,Transactions!$C$3:$C$83,B9,Transactions!$D$3:$D$83,A9)</f>
        <v>23</v>
      </c>
      <c r="H9" s="22">
        <f t="shared" si="0"/>
        <v>115</v>
      </c>
      <c r="I9" s="24" t="str">
        <f t="shared" si="1"/>
        <v>Yes</v>
      </c>
      <c r="J9" s="51">
        <f ca="1">IF(I9="Yes",IF(J9="",Order!$B$3,J9),"")</f>
        <v>45814</v>
      </c>
    </row>
    <row r="10" spans="1:10" x14ac:dyDescent="0.35">
      <c r="A10" s="11" t="s">
        <v>71</v>
      </c>
      <c r="B10" s="11" t="s">
        <v>14</v>
      </c>
      <c r="C10" s="25" t="str">
        <f>VLOOKUP(B10,Products!$A$3:$F$22,2,0)</f>
        <v>Organic Lip Balm Set</v>
      </c>
      <c r="D10" s="25" t="str">
        <f>VLOOKUP(B10,Products!$A$3:$F$22,6,0)</f>
        <v>PureGlow Imports</v>
      </c>
      <c r="E10" s="26">
        <f>VLOOKUP(B10,Products!$A$3:$F$22,4,0)</f>
        <v>5</v>
      </c>
      <c r="F10" s="27">
        <f>VLOOKUP(B10,Products!$A$3:$F$22,5,0)</f>
        <v>25</v>
      </c>
      <c r="G10" s="28">
        <f>SUMIFS(Transactions!$E$3:$E$83,Transactions!$C$3:$C$83,B10,Transactions!$D$3:$D$83,A10)</f>
        <v>30</v>
      </c>
      <c r="H10" s="26">
        <f t="shared" si="0"/>
        <v>150</v>
      </c>
      <c r="I10" s="28" t="str">
        <f t="shared" si="1"/>
        <v>No</v>
      </c>
      <c r="J10" s="51" t="str">
        <f>IF(I10="Yes",IF(J10="",Order!$B$3,J10),"")</f>
        <v/>
      </c>
    </row>
    <row r="11" spans="1:10" x14ac:dyDescent="0.35">
      <c r="A11" s="8" t="s">
        <v>73</v>
      </c>
      <c r="B11" s="8" t="s">
        <v>14</v>
      </c>
      <c r="C11" s="21" t="str">
        <f>VLOOKUP(B11,Products!$A$3:$F$22,2,0)</f>
        <v>Organic Lip Balm Set</v>
      </c>
      <c r="D11" s="21" t="str">
        <f>VLOOKUP(B11,Products!$A$3:$F$22,6,0)</f>
        <v>PureGlow Imports</v>
      </c>
      <c r="E11" s="22">
        <f>VLOOKUP(B11,Products!$A$3:$F$22,4,0)</f>
        <v>5</v>
      </c>
      <c r="F11" s="23">
        <f>VLOOKUP(B11,Products!$A$3:$F$22,5,0)</f>
        <v>25</v>
      </c>
      <c r="G11" s="24">
        <f>SUMIFS(Transactions!$E$3:$E$83,Transactions!$C$3:$C$83,B11,Transactions!$D$3:$D$83,A11)</f>
        <v>8</v>
      </c>
      <c r="H11" s="22">
        <f t="shared" si="0"/>
        <v>40</v>
      </c>
      <c r="I11" s="24" t="str">
        <f t="shared" si="1"/>
        <v>Yes</v>
      </c>
      <c r="J11" s="51">
        <f ca="1">IF(I11="Yes",IF(J11="",Order!$B$3,J11),"")</f>
        <v>45814</v>
      </c>
    </row>
    <row r="12" spans="1:10" x14ac:dyDescent="0.35">
      <c r="A12" s="11" t="s">
        <v>68</v>
      </c>
      <c r="B12" s="11" t="s">
        <v>18</v>
      </c>
      <c r="C12" s="25" t="str">
        <f>VLOOKUP(B12,Products!$A$3:$F$22,2,0)</f>
        <v>Foldable Tote Bag</v>
      </c>
      <c r="D12" s="25" t="str">
        <f>VLOOKUP(B12,Products!$A$3:$F$22,6,0)</f>
        <v>UrbanCraft Co.</v>
      </c>
      <c r="E12" s="26">
        <f>VLOOKUP(B12,Products!$A$3:$F$22,4,0)</f>
        <v>7.5</v>
      </c>
      <c r="F12" s="27">
        <f>VLOOKUP(B12,Products!$A$3:$F$22,5,0)</f>
        <v>20</v>
      </c>
      <c r="G12" s="28">
        <f>SUMIFS(Transactions!$E$3:$E$83,Transactions!$C$3:$C$83,B12,Transactions!$D$3:$D$83,A12)</f>
        <v>22</v>
      </c>
      <c r="H12" s="26">
        <f t="shared" si="0"/>
        <v>165</v>
      </c>
      <c r="I12" s="28" t="str">
        <f t="shared" si="1"/>
        <v>No</v>
      </c>
      <c r="J12" s="51" t="str">
        <f>IF(I12="Yes",IF(J12="",Order!$B$3,J12),"")</f>
        <v/>
      </c>
    </row>
    <row r="13" spans="1:10" x14ac:dyDescent="0.35">
      <c r="A13" s="8" t="s">
        <v>71</v>
      </c>
      <c r="B13" s="8" t="s">
        <v>18</v>
      </c>
      <c r="C13" s="21" t="str">
        <f>VLOOKUP(B13,Products!$A$3:$F$22,2,0)</f>
        <v>Foldable Tote Bag</v>
      </c>
      <c r="D13" s="21" t="str">
        <f>VLOOKUP(B13,Products!$A$3:$F$22,6,0)</f>
        <v>UrbanCraft Co.</v>
      </c>
      <c r="E13" s="22">
        <f>VLOOKUP(B13,Products!$A$3:$F$22,4,0)</f>
        <v>7.5</v>
      </c>
      <c r="F13" s="23">
        <f>VLOOKUP(B13,Products!$A$3:$F$22,5,0)</f>
        <v>20</v>
      </c>
      <c r="G13" s="24">
        <f>SUMIFS(Transactions!$E$3:$E$83,Transactions!$C$3:$C$83,B13,Transactions!$D$3:$D$83,A13)</f>
        <v>4</v>
      </c>
      <c r="H13" s="22">
        <f t="shared" si="0"/>
        <v>30</v>
      </c>
      <c r="I13" s="24" t="str">
        <f t="shared" si="1"/>
        <v>Yes</v>
      </c>
      <c r="J13" s="51">
        <f ca="1">IF(I13="Yes",IF(J13="",Order!$B$3,J13),"")</f>
        <v>45814</v>
      </c>
    </row>
    <row r="14" spans="1:10" x14ac:dyDescent="0.35">
      <c r="A14" s="11" t="s">
        <v>73</v>
      </c>
      <c r="B14" s="11" t="s">
        <v>18</v>
      </c>
      <c r="C14" s="25" t="str">
        <f>VLOOKUP(B14,Products!$A$3:$F$22,2,0)</f>
        <v>Foldable Tote Bag</v>
      </c>
      <c r="D14" s="25" t="str">
        <f>VLOOKUP(B14,Products!$A$3:$F$22,6,0)</f>
        <v>UrbanCraft Co.</v>
      </c>
      <c r="E14" s="26">
        <f>VLOOKUP(B14,Products!$A$3:$F$22,4,0)</f>
        <v>7.5</v>
      </c>
      <c r="F14" s="27">
        <f>VLOOKUP(B14,Products!$A$3:$F$22,5,0)</f>
        <v>20</v>
      </c>
      <c r="G14" s="28">
        <f>SUMIFS(Transactions!$E$3:$E$83,Transactions!$C$3:$C$83,B14,Transactions!$D$3:$D$83,A14)</f>
        <v>19</v>
      </c>
      <c r="H14" s="26">
        <f t="shared" si="0"/>
        <v>142.5</v>
      </c>
      <c r="I14" s="28" t="str">
        <f t="shared" si="1"/>
        <v>Yes</v>
      </c>
      <c r="J14" s="51">
        <f ca="1">IF(I14="Yes",IF(J14="",Order!$B$3,J14),"")</f>
        <v>45814</v>
      </c>
    </row>
    <row r="15" spans="1:10" x14ac:dyDescent="0.35">
      <c r="A15" s="8" t="s">
        <v>68</v>
      </c>
      <c r="B15" s="8" t="s">
        <v>22</v>
      </c>
      <c r="C15" s="21" t="str">
        <f>VLOOKUP(B15,Products!$A$3:$F$22,2,0)</f>
        <v>Mini Succulent Pot</v>
      </c>
      <c r="D15" s="21" t="str">
        <f>VLOOKUP(B15,Products!$A$3:$F$22,6,0)</f>
        <v>GreenEdge Nurseries</v>
      </c>
      <c r="E15" s="22">
        <f>VLOOKUP(B15,Products!$A$3:$F$22,4,0)</f>
        <v>8</v>
      </c>
      <c r="F15" s="23">
        <f>VLOOKUP(B15,Products!$A$3:$F$22,5,0)</f>
        <v>12</v>
      </c>
      <c r="G15" s="24">
        <f>SUMIFS(Transactions!$E$3:$E$83,Transactions!$C$3:$C$83,B15,Transactions!$D$3:$D$83,A15)</f>
        <v>46</v>
      </c>
      <c r="H15" s="22">
        <f t="shared" si="0"/>
        <v>368</v>
      </c>
      <c r="I15" s="24" t="str">
        <f t="shared" si="1"/>
        <v>No</v>
      </c>
      <c r="J15" s="51" t="str">
        <f>IF(I15="Yes",IF(J15="",Order!$B$3,J15),"")</f>
        <v/>
      </c>
    </row>
    <row r="16" spans="1:10" x14ac:dyDescent="0.35">
      <c r="A16" s="11" t="s">
        <v>71</v>
      </c>
      <c r="B16" s="11" t="s">
        <v>22</v>
      </c>
      <c r="C16" s="25" t="str">
        <f>VLOOKUP(B16,Products!$A$3:$F$22,2,0)</f>
        <v>Mini Succulent Pot</v>
      </c>
      <c r="D16" s="25" t="str">
        <f>VLOOKUP(B16,Products!$A$3:$F$22,6,0)</f>
        <v>GreenEdge Nurseries</v>
      </c>
      <c r="E16" s="26">
        <f>VLOOKUP(B16,Products!$A$3:$F$22,4,0)</f>
        <v>8</v>
      </c>
      <c r="F16" s="27">
        <f>VLOOKUP(B16,Products!$A$3:$F$22,5,0)</f>
        <v>12</v>
      </c>
      <c r="G16" s="28">
        <f>SUMIFS(Transactions!$E$3:$E$83,Transactions!$C$3:$C$83,B16,Transactions!$D$3:$D$83,A16)</f>
        <v>48</v>
      </c>
      <c r="H16" s="26">
        <f t="shared" si="0"/>
        <v>384</v>
      </c>
      <c r="I16" s="28" t="str">
        <f t="shared" si="1"/>
        <v>No</v>
      </c>
      <c r="J16" s="51" t="str">
        <f>IF(I16="Yes",IF(J16="",Order!$B$3,J16),"")</f>
        <v/>
      </c>
    </row>
    <row r="17" spans="1:10" x14ac:dyDescent="0.35">
      <c r="A17" s="8" t="s">
        <v>73</v>
      </c>
      <c r="B17" s="8" t="s">
        <v>22</v>
      </c>
      <c r="C17" s="21" t="str">
        <f>VLOOKUP(B17,Products!$A$3:$F$22,2,0)</f>
        <v>Mini Succulent Pot</v>
      </c>
      <c r="D17" s="21" t="str">
        <f>VLOOKUP(B17,Products!$A$3:$F$22,6,0)</f>
        <v>GreenEdge Nurseries</v>
      </c>
      <c r="E17" s="22">
        <f>VLOOKUP(B17,Products!$A$3:$F$22,4,0)</f>
        <v>8</v>
      </c>
      <c r="F17" s="23">
        <f>VLOOKUP(B17,Products!$A$3:$F$22,5,0)</f>
        <v>12</v>
      </c>
      <c r="G17" s="24">
        <f>SUMIFS(Transactions!$E$3:$E$83,Transactions!$C$3:$C$83,B17,Transactions!$D$3:$D$83,A17)</f>
        <v>31</v>
      </c>
      <c r="H17" s="22">
        <f t="shared" si="0"/>
        <v>248</v>
      </c>
      <c r="I17" s="24" t="str">
        <f t="shared" si="1"/>
        <v>No</v>
      </c>
      <c r="J17" s="51" t="str">
        <f>IF(I17="Yes",IF(J17="",Order!$B$3,J17),"")</f>
        <v/>
      </c>
    </row>
    <row r="18" spans="1:10" x14ac:dyDescent="0.35">
      <c r="A18" s="11" t="s">
        <v>68</v>
      </c>
      <c r="B18" s="11" t="s">
        <v>25</v>
      </c>
      <c r="C18" s="25" t="str">
        <f>VLOOKUP(B18,Products!$A$3:$F$22,2,0)</f>
        <v>Puzzle Notebook</v>
      </c>
      <c r="D18" s="25" t="str">
        <f>VLOOKUP(B18,Products!$A$3:$F$22,6,0)</f>
        <v>PageMaster Supplies</v>
      </c>
      <c r="E18" s="26">
        <f>VLOOKUP(B18,Products!$A$3:$F$22,4,0)</f>
        <v>4.5</v>
      </c>
      <c r="F18" s="27">
        <f>VLOOKUP(B18,Products!$A$3:$F$22,5,0)</f>
        <v>30</v>
      </c>
      <c r="G18" s="28">
        <f>SUMIFS(Transactions!$E$3:$E$83,Transactions!$C$3:$C$83,B18,Transactions!$D$3:$D$83,A18)</f>
        <v>35</v>
      </c>
      <c r="H18" s="26">
        <f t="shared" si="0"/>
        <v>157.5</v>
      </c>
      <c r="I18" s="28" t="str">
        <f t="shared" si="1"/>
        <v>No</v>
      </c>
      <c r="J18" s="51" t="str">
        <f>IF(I18="Yes",IF(J18="",Order!$B$3,J18),"")</f>
        <v/>
      </c>
    </row>
    <row r="19" spans="1:10" x14ac:dyDescent="0.35">
      <c r="A19" s="8" t="s">
        <v>71</v>
      </c>
      <c r="B19" s="8" t="s">
        <v>25</v>
      </c>
      <c r="C19" s="21" t="str">
        <f>VLOOKUP(B19,Products!$A$3:$F$22,2,0)</f>
        <v>Puzzle Notebook</v>
      </c>
      <c r="D19" s="21" t="str">
        <f>VLOOKUP(B19,Products!$A$3:$F$22,6,0)</f>
        <v>PageMaster Supplies</v>
      </c>
      <c r="E19" s="22">
        <f>VLOOKUP(B19,Products!$A$3:$F$22,4,0)</f>
        <v>4.5</v>
      </c>
      <c r="F19" s="23">
        <f>VLOOKUP(B19,Products!$A$3:$F$22,5,0)</f>
        <v>30</v>
      </c>
      <c r="G19" s="24">
        <f>SUMIFS(Transactions!$E$3:$E$83,Transactions!$C$3:$C$83,B19,Transactions!$D$3:$D$83,A19)</f>
        <v>35</v>
      </c>
      <c r="H19" s="22">
        <f t="shared" si="0"/>
        <v>157.5</v>
      </c>
      <c r="I19" s="24" t="str">
        <f t="shared" si="1"/>
        <v>No</v>
      </c>
      <c r="J19" s="51" t="str">
        <f>IF(I19="Yes",IF(J19="",Order!$B$3,J19),"")</f>
        <v/>
      </c>
    </row>
    <row r="20" spans="1:10" x14ac:dyDescent="0.35">
      <c r="A20" s="11" t="s">
        <v>73</v>
      </c>
      <c r="B20" s="11" t="s">
        <v>25</v>
      </c>
      <c r="C20" s="25" t="str">
        <f>VLOOKUP(B20,Products!$A$3:$F$22,2,0)</f>
        <v>Puzzle Notebook</v>
      </c>
      <c r="D20" s="25" t="str">
        <f>VLOOKUP(B20,Products!$A$3:$F$22,6,0)</f>
        <v>PageMaster Supplies</v>
      </c>
      <c r="E20" s="26">
        <f>VLOOKUP(B20,Products!$A$3:$F$22,4,0)</f>
        <v>4.5</v>
      </c>
      <c r="F20" s="27">
        <f>VLOOKUP(B20,Products!$A$3:$F$22,5,0)</f>
        <v>30</v>
      </c>
      <c r="G20" s="28">
        <f>SUMIFS(Transactions!$E$3:$E$83,Transactions!$C$3:$C$83,B20,Transactions!$D$3:$D$83,A20)</f>
        <v>28</v>
      </c>
      <c r="H20" s="26">
        <f t="shared" si="0"/>
        <v>126</v>
      </c>
      <c r="I20" s="28" t="str">
        <f t="shared" si="1"/>
        <v>Yes</v>
      </c>
      <c r="J20" s="51">
        <f ca="1">IF(I20="Yes",IF(J20="",Order!$B$3,J20),"")</f>
        <v>45814</v>
      </c>
    </row>
    <row r="21" spans="1:10" x14ac:dyDescent="0.35">
      <c r="A21" s="8" t="s">
        <v>68</v>
      </c>
      <c r="B21" s="8" t="s">
        <v>29</v>
      </c>
      <c r="C21" s="21" t="str">
        <f>VLOOKUP(B21,Products!$A$3:$F$22,2,0)</f>
        <v>Protein Snack Bar</v>
      </c>
      <c r="D21" s="21" t="str">
        <f>VLOOKUP(B21,Products!$A$3:$F$22,6,0)</f>
        <v>NutriPeak Foods</v>
      </c>
      <c r="E21" s="22">
        <f>VLOOKUP(B21,Products!$A$3:$F$22,4,0)</f>
        <v>3.5</v>
      </c>
      <c r="F21" s="23">
        <f>VLOOKUP(B21,Products!$A$3:$F$22,5,0)</f>
        <v>40</v>
      </c>
      <c r="G21" s="24">
        <f>SUMIFS(Transactions!$E$3:$E$83,Transactions!$C$3:$C$83,B21,Transactions!$D$3:$D$83,A21)</f>
        <v>36</v>
      </c>
      <c r="H21" s="22">
        <f t="shared" si="0"/>
        <v>126</v>
      </c>
      <c r="I21" s="24" t="str">
        <f t="shared" si="1"/>
        <v>Yes</v>
      </c>
      <c r="J21" s="51">
        <f ca="1">IF(I21="Yes",IF(J21="",Order!$B$3,J21),"")</f>
        <v>45814</v>
      </c>
    </row>
    <row r="22" spans="1:10" x14ac:dyDescent="0.35">
      <c r="A22" s="11" t="s">
        <v>71</v>
      </c>
      <c r="B22" s="11" t="s">
        <v>29</v>
      </c>
      <c r="C22" s="25" t="str">
        <f>VLOOKUP(B22,Products!$A$3:$F$22,2,0)</f>
        <v>Protein Snack Bar</v>
      </c>
      <c r="D22" s="25" t="str">
        <f>VLOOKUP(B22,Products!$A$3:$F$22,6,0)</f>
        <v>NutriPeak Foods</v>
      </c>
      <c r="E22" s="26">
        <f>VLOOKUP(B22,Products!$A$3:$F$22,4,0)</f>
        <v>3.5</v>
      </c>
      <c r="F22" s="27">
        <f>VLOOKUP(B22,Products!$A$3:$F$22,5,0)</f>
        <v>40</v>
      </c>
      <c r="G22" s="28">
        <f>SUMIFS(Transactions!$E$3:$E$83,Transactions!$C$3:$C$83,B22,Transactions!$D$3:$D$83,A22)</f>
        <v>5</v>
      </c>
      <c r="H22" s="26">
        <f t="shared" si="0"/>
        <v>17.5</v>
      </c>
      <c r="I22" s="28" t="str">
        <f t="shared" si="1"/>
        <v>Yes</v>
      </c>
      <c r="J22" s="51">
        <f ca="1">IF(I22="Yes",IF(J22="",Order!$B$3,J22),"")</f>
        <v>45814</v>
      </c>
    </row>
    <row r="23" spans="1:10" x14ac:dyDescent="0.35">
      <c r="A23" s="8" t="s">
        <v>73</v>
      </c>
      <c r="B23" s="8" t="s">
        <v>29</v>
      </c>
      <c r="C23" s="21" t="str">
        <f>VLOOKUP(B23,Products!$A$3:$F$22,2,0)</f>
        <v>Protein Snack Bar</v>
      </c>
      <c r="D23" s="21" t="str">
        <f>VLOOKUP(B23,Products!$A$3:$F$22,6,0)</f>
        <v>NutriPeak Foods</v>
      </c>
      <c r="E23" s="22">
        <f>VLOOKUP(B23,Products!$A$3:$F$22,4,0)</f>
        <v>3.5</v>
      </c>
      <c r="F23" s="23">
        <f>VLOOKUP(B23,Products!$A$3:$F$22,5,0)</f>
        <v>40</v>
      </c>
      <c r="G23" s="24">
        <f>SUMIFS(Transactions!$E$3:$E$83,Transactions!$C$3:$C$83,B23,Transactions!$D$3:$D$83,A23)</f>
        <v>2</v>
      </c>
      <c r="H23" s="22">
        <f t="shared" si="0"/>
        <v>7</v>
      </c>
      <c r="I23" s="24" t="str">
        <f t="shared" si="1"/>
        <v>Yes</v>
      </c>
      <c r="J23" s="51">
        <f ca="1">IF(I23="Yes",IF(J23="",Order!$B$3,J23),"")</f>
        <v>45814</v>
      </c>
    </row>
    <row r="24" spans="1:10" x14ac:dyDescent="0.35">
      <c r="A24" s="11" t="s">
        <v>68</v>
      </c>
      <c r="B24" s="11" t="s">
        <v>33</v>
      </c>
      <c r="C24" s="25" t="str">
        <f>VLOOKUP(B24,Products!$A$3:$F$22,2,0)</f>
        <v>Bamboo Toothbrush Pack</v>
      </c>
      <c r="D24" s="25" t="str">
        <f>VLOOKUP(B24,Products!$A$3:$F$22,6,0)</f>
        <v>EcoRoot Imports</v>
      </c>
      <c r="E24" s="26">
        <f>VLOOKUP(B24,Products!$A$3:$F$22,4,0)</f>
        <v>6</v>
      </c>
      <c r="F24" s="27">
        <f>VLOOKUP(B24,Products!$A$3:$F$22,5,0)</f>
        <v>20</v>
      </c>
      <c r="G24" s="28">
        <f>SUMIFS(Transactions!$E$3:$E$83,Transactions!$C$3:$C$83,B24,Transactions!$D$3:$D$83,A24)</f>
        <v>22</v>
      </c>
      <c r="H24" s="26">
        <f t="shared" si="0"/>
        <v>132</v>
      </c>
      <c r="I24" s="28" t="str">
        <f t="shared" si="1"/>
        <v>No</v>
      </c>
      <c r="J24" s="51" t="str">
        <f>IF(I24="Yes",IF(J24="",Order!$B$3,J24),"")</f>
        <v/>
      </c>
    </row>
    <row r="25" spans="1:10" x14ac:dyDescent="0.35">
      <c r="A25" s="8" t="s">
        <v>71</v>
      </c>
      <c r="B25" s="8" t="s">
        <v>33</v>
      </c>
      <c r="C25" s="21" t="str">
        <f>VLOOKUP(B25,Products!$A$3:$F$22,2,0)</f>
        <v>Bamboo Toothbrush Pack</v>
      </c>
      <c r="D25" s="21" t="str">
        <f>VLOOKUP(B25,Products!$A$3:$F$22,6,0)</f>
        <v>EcoRoot Imports</v>
      </c>
      <c r="E25" s="22">
        <f>VLOOKUP(B25,Products!$A$3:$F$22,4,0)</f>
        <v>6</v>
      </c>
      <c r="F25" s="23">
        <f>VLOOKUP(B25,Products!$A$3:$F$22,5,0)</f>
        <v>20</v>
      </c>
      <c r="G25" s="24">
        <f>SUMIFS(Transactions!$E$3:$E$83,Transactions!$C$3:$C$83,B25,Transactions!$D$3:$D$83,A25)</f>
        <v>11</v>
      </c>
      <c r="H25" s="22">
        <f t="shared" si="0"/>
        <v>66</v>
      </c>
      <c r="I25" s="24" t="str">
        <f t="shared" si="1"/>
        <v>Yes</v>
      </c>
      <c r="J25" s="51">
        <f ca="1">IF(I25="Yes",IF(J25="",Order!$B$3,J25),"")</f>
        <v>45814</v>
      </c>
    </row>
    <row r="26" spans="1:10" x14ac:dyDescent="0.35">
      <c r="A26" s="11" t="s">
        <v>73</v>
      </c>
      <c r="B26" s="11" t="s">
        <v>33</v>
      </c>
      <c r="C26" s="25" t="str">
        <f>VLOOKUP(B26,Products!$A$3:$F$22,2,0)</f>
        <v>Bamboo Toothbrush Pack</v>
      </c>
      <c r="D26" s="25" t="str">
        <f>VLOOKUP(B26,Products!$A$3:$F$22,6,0)</f>
        <v>EcoRoot Imports</v>
      </c>
      <c r="E26" s="26">
        <f>VLOOKUP(B26,Products!$A$3:$F$22,4,0)</f>
        <v>6</v>
      </c>
      <c r="F26" s="27">
        <f>VLOOKUP(B26,Products!$A$3:$F$22,5,0)</f>
        <v>20</v>
      </c>
      <c r="G26" s="28">
        <f>SUMIFS(Transactions!$E$3:$E$83,Transactions!$C$3:$C$83,B26,Transactions!$D$3:$D$83,A26)</f>
        <v>20</v>
      </c>
      <c r="H26" s="26">
        <f t="shared" si="0"/>
        <v>120</v>
      </c>
      <c r="I26" s="28" t="str">
        <f t="shared" si="1"/>
        <v>Yes</v>
      </c>
      <c r="J26" s="51">
        <f ca="1">IF(I26="Yes",IF(J26="",Order!$B$3,J26),"")</f>
        <v>45814</v>
      </c>
    </row>
    <row r="27" spans="1:10" x14ac:dyDescent="0.35">
      <c r="A27" s="8" t="s">
        <v>68</v>
      </c>
      <c r="B27" s="8" t="s">
        <v>36</v>
      </c>
      <c r="C27" s="21" t="str">
        <f>VLOOKUP(B27,Products!$A$3:$F$22,2,0)</f>
        <v>LED Book Light</v>
      </c>
      <c r="D27" s="21" t="str">
        <f>VLOOKUP(B27,Products!$A$3:$F$22,6,0)</f>
        <v>TechLink Distributors</v>
      </c>
      <c r="E27" s="22">
        <f>VLOOKUP(B27,Products!$A$3:$F$22,4,0)</f>
        <v>11</v>
      </c>
      <c r="F27" s="23">
        <f>VLOOKUP(B27,Products!$A$3:$F$22,5,0)</f>
        <v>10</v>
      </c>
      <c r="G27" s="24">
        <f>SUMIFS(Transactions!$E$3:$E$83,Transactions!$C$3:$C$83,B27,Transactions!$D$3:$D$83,A27)</f>
        <v>12</v>
      </c>
      <c r="H27" s="22">
        <f t="shared" si="0"/>
        <v>132</v>
      </c>
      <c r="I27" s="24" t="str">
        <f t="shared" si="1"/>
        <v>No</v>
      </c>
      <c r="J27" s="51" t="str">
        <f>IF(I27="Yes",IF(J27="",Order!$B$3,J27),"")</f>
        <v/>
      </c>
    </row>
    <row r="28" spans="1:10" x14ac:dyDescent="0.35">
      <c r="A28" s="11" t="s">
        <v>71</v>
      </c>
      <c r="B28" s="11" t="s">
        <v>36</v>
      </c>
      <c r="C28" s="25" t="str">
        <f>VLOOKUP(B28,Products!$A$3:$F$22,2,0)</f>
        <v>LED Book Light</v>
      </c>
      <c r="D28" s="25" t="str">
        <f>VLOOKUP(B28,Products!$A$3:$F$22,6,0)</f>
        <v>TechLink Distributors</v>
      </c>
      <c r="E28" s="26">
        <f>VLOOKUP(B28,Products!$A$3:$F$22,4,0)</f>
        <v>11</v>
      </c>
      <c r="F28" s="27">
        <f>VLOOKUP(B28,Products!$A$3:$F$22,5,0)</f>
        <v>10</v>
      </c>
      <c r="G28" s="28">
        <f>SUMIFS(Transactions!$E$3:$E$83,Transactions!$C$3:$C$83,B28,Transactions!$D$3:$D$83,A28)</f>
        <v>4</v>
      </c>
      <c r="H28" s="26">
        <f t="shared" si="0"/>
        <v>44</v>
      </c>
      <c r="I28" s="28" t="str">
        <f t="shared" si="1"/>
        <v>Yes</v>
      </c>
      <c r="J28" s="51">
        <f ca="1">IF(I28="Yes",IF(J28="",Order!$B$3,J28),"")</f>
        <v>45814</v>
      </c>
    </row>
    <row r="29" spans="1:10" x14ac:dyDescent="0.35">
      <c r="A29" s="8" t="s">
        <v>73</v>
      </c>
      <c r="B29" s="8" t="s">
        <v>36</v>
      </c>
      <c r="C29" s="21" t="str">
        <f>VLOOKUP(B29,Products!$A$3:$F$22,2,0)</f>
        <v>LED Book Light</v>
      </c>
      <c r="D29" s="21" t="str">
        <f>VLOOKUP(B29,Products!$A$3:$F$22,6,0)</f>
        <v>TechLink Distributors</v>
      </c>
      <c r="E29" s="22">
        <f>VLOOKUP(B29,Products!$A$3:$F$22,4,0)</f>
        <v>11</v>
      </c>
      <c r="F29" s="23">
        <f>VLOOKUP(B29,Products!$A$3:$F$22,5,0)</f>
        <v>10</v>
      </c>
      <c r="G29" s="24">
        <f>SUMIFS(Transactions!$E$3:$E$83,Transactions!$C$3:$C$83,B29,Transactions!$D$3:$D$83,A29)</f>
        <v>24</v>
      </c>
      <c r="H29" s="22">
        <f t="shared" si="0"/>
        <v>264</v>
      </c>
      <c r="I29" s="24" t="str">
        <f t="shared" si="1"/>
        <v>No</v>
      </c>
      <c r="J29" s="51" t="str">
        <f>IF(I29="Yes",IF(J29="",Order!$B$3,J29),"")</f>
        <v/>
      </c>
    </row>
    <row r="30" spans="1:10" x14ac:dyDescent="0.35">
      <c r="A30" s="11" t="s">
        <v>68</v>
      </c>
      <c r="B30" s="11" t="s">
        <v>38</v>
      </c>
      <c r="C30" s="25" t="str">
        <f>VLOOKUP(B30,Products!$A$3:$F$22,2,0)</f>
        <v>Canvas Zipper Pouch</v>
      </c>
      <c r="D30" s="25" t="str">
        <f>VLOOKUP(B30,Products!$A$3:$F$22,6,0)</f>
        <v>UrbanCraft Co.</v>
      </c>
      <c r="E30" s="26">
        <f>VLOOKUP(B30,Products!$A$3:$F$22,4,0)</f>
        <v>5.5</v>
      </c>
      <c r="F30" s="27">
        <f>VLOOKUP(B30,Products!$A$3:$F$22,5,0)</f>
        <v>18</v>
      </c>
      <c r="G30" s="28">
        <f>SUMIFS(Transactions!$E$3:$E$83,Transactions!$C$3:$C$83,B30,Transactions!$D$3:$D$83,A30)</f>
        <v>20</v>
      </c>
      <c r="H30" s="26">
        <f t="shared" si="0"/>
        <v>110</v>
      </c>
      <c r="I30" s="28" t="str">
        <f t="shared" si="1"/>
        <v>No</v>
      </c>
      <c r="J30" s="51" t="str">
        <f>IF(I30="Yes",IF(J30="",Order!$B$3,J30),"")</f>
        <v/>
      </c>
    </row>
    <row r="31" spans="1:10" x14ac:dyDescent="0.35">
      <c r="A31" s="8" t="s">
        <v>71</v>
      </c>
      <c r="B31" s="8" t="s">
        <v>38</v>
      </c>
      <c r="C31" s="21" t="str">
        <f>VLOOKUP(B31,Products!$A$3:$F$22,2,0)</f>
        <v>Canvas Zipper Pouch</v>
      </c>
      <c r="D31" s="21" t="str">
        <f>VLOOKUP(B31,Products!$A$3:$F$22,6,0)</f>
        <v>UrbanCraft Co.</v>
      </c>
      <c r="E31" s="22">
        <f>VLOOKUP(B31,Products!$A$3:$F$22,4,0)</f>
        <v>5.5</v>
      </c>
      <c r="F31" s="23">
        <f>VLOOKUP(B31,Products!$A$3:$F$22,5,0)</f>
        <v>18</v>
      </c>
      <c r="G31" s="24">
        <f>SUMIFS(Transactions!$E$3:$E$83,Transactions!$C$3:$C$83,B31,Transactions!$D$3:$D$83,A31)</f>
        <v>15</v>
      </c>
      <c r="H31" s="22">
        <f t="shared" si="0"/>
        <v>82.5</v>
      </c>
      <c r="I31" s="24" t="str">
        <f t="shared" si="1"/>
        <v>Yes</v>
      </c>
      <c r="J31" s="51">
        <f ca="1">IF(I31="Yes",IF(J31="",Order!$B$3,J31),"")</f>
        <v>45814</v>
      </c>
    </row>
    <row r="32" spans="1:10" x14ac:dyDescent="0.35">
      <c r="A32" s="11" t="s">
        <v>73</v>
      </c>
      <c r="B32" s="11" t="s">
        <v>38</v>
      </c>
      <c r="C32" s="25" t="str">
        <f>VLOOKUP(B32,Products!$A$3:$F$22,2,0)</f>
        <v>Canvas Zipper Pouch</v>
      </c>
      <c r="D32" s="25" t="str">
        <f>VLOOKUP(B32,Products!$A$3:$F$22,6,0)</f>
        <v>UrbanCraft Co.</v>
      </c>
      <c r="E32" s="26">
        <f>VLOOKUP(B32,Products!$A$3:$F$22,4,0)</f>
        <v>5.5</v>
      </c>
      <c r="F32" s="27">
        <f>VLOOKUP(B32,Products!$A$3:$F$22,5,0)</f>
        <v>18</v>
      </c>
      <c r="G32" s="28">
        <f>SUMIFS(Transactions!$E$3:$E$83,Transactions!$C$3:$C$83,B32,Transactions!$D$3:$D$83,A32)</f>
        <v>14</v>
      </c>
      <c r="H32" s="26">
        <f t="shared" si="0"/>
        <v>77</v>
      </c>
      <c r="I32" s="28" t="str">
        <f t="shared" si="1"/>
        <v>Yes</v>
      </c>
      <c r="J32" s="51">
        <f ca="1">IF(I32="Yes",IF(J32="",Order!$B$3,J32),"")</f>
        <v>45814</v>
      </c>
    </row>
    <row r="33" spans="1:10" x14ac:dyDescent="0.35">
      <c r="A33" s="8" t="s">
        <v>68</v>
      </c>
      <c r="B33" s="8" t="s">
        <v>40</v>
      </c>
      <c r="C33" s="21" t="str">
        <f>VLOOKUP(B33,Products!$A$3:$F$22,2,0)</f>
        <v>Herbal Tea Sampler</v>
      </c>
      <c r="D33" s="21" t="str">
        <f>VLOOKUP(B33,Products!$A$3:$F$22,6,0)</f>
        <v>NutriPeak Foods</v>
      </c>
      <c r="E33" s="22">
        <f>VLOOKUP(B33,Products!$A$3:$F$22,4,0)</f>
        <v>10</v>
      </c>
      <c r="F33" s="23">
        <f>VLOOKUP(B33,Products!$A$3:$F$22,5,0)</f>
        <v>15</v>
      </c>
      <c r="G33" s="24">
        <f>SUMIFS(Transactions!$E$3:$E$83,Transactions!$C$3:$C$83,B33,Transactions!$D$3:$D$83,A33)</f>
        <v>16</v>
      </c>
      <c r="H33" s="22">
        <f t="shared" si="0"/>
        <v>160</v>
      </c>
      <c r="I33" s="24" t="str">
        <f t="shared" si="1"/>
        <v>No</v>
      </c>
      <c r="J33" s="51" t="str">
        <f>IF(I33="Yes",IF(J33="",Order!$B$3,J33),"")</f>
        <v/>
      </c>
    </row>
    <row r="34" spans="1:10" x14ac:dyDescent="0.35">
      <c r="A34" s="11" t="s">
        <v>71</v>
      </c>
      <c r="B34" s="11" t="s">
        <v>40</v>
      </c>
      <c r="C34" s="25" t="str">
        <f>VLOOKUP(B34,Products!$A$3:$F$22,2,0)</f>
        <v>Herbal Tea Sampler</v>
      </c>
      <c r="D34" s="25" t="str">
        <f>VLOOKUP(B34,Products!$A$3:$F$22,6,0)</f>
        <v>NutriPeak Foods</v>
      </c>
      <c r="E34" s="26">
        <f>VLOOKUP(B34,Products!$A$3:$F$22,4,0)</f>
        <v>10</v>
      </c>
      <c r="F34" s="27">
        <f>VLOOKUP(B34,Products!$A$3:$F$22,5,0)</f>
        <v>15</v>
      </c>
      <c r="G34" s="28">
        <f>SUMIFS(Transactions!$E$3:$E$83,Transactions!$C$3:$C$83,B34,Transactions!$D$3:$D$83,A34)</f>
        <v>14</v>
      </c>
      <c r="H34" s="26">
        <f t="shared" si="0"/>
        <v>140</v>
      </c>
      <c r="I34" s="28" t="str">
        <f t="shared" si="1"/>
        <v>Yes</v>
      </c>
      <c r="J34" s="51">
        <f ca="1">IF(I34="Yes",IF(J34="",Order!$B$3,J34),"")</f>
        <v>45814</v>
      </c>
    </row>
    <row r="35" spans="1:10" x14ac:dyDescent="0.35">
      <c r="A35" s="8" t="s">
        <v>73</v>
      </c>
      <c r="B35" s="8" t="s">
        <v>40</v>
      </c>
      <c r="C35" s="21" t="str">
        <f>VLOOKUP(B35,Products!$A$3:$F$22,2,0)</f>
        <v>Herbal Tea Sampler</v>
      </c>
      <c r="D35" s="21" t="str">
        <f>VLOOKUP(B35,Products!$A$3:$F$22,6,0)</f>
        <v>NutriPeak Foods</v>
      </c>
      <c r="E35" s="22">
        <f>VLOOKUP(B35,Products!$A$3:$F$22,4,0)</f>
        <v>10</v>
      </c>
      <c r="F35" s="23">
        <f>VLOOKUP(B35,Products!$A$3:$F$22,5,0)</f>
        <v>15</v>
      </c>
      <c r="G35" s="24">
        <f>SUMIFS(Transactions!$E$3:$E$83,Transactions!$C$3:$C$83,B35,Transactions!$D$3:$D$83,A35)</f>
        <v>32</v>
      </c>
      <c r="H35" s="22">
        <f t="shared" ref="H35:H66" si="2">G35*E35</f>
        <v>320</v>
      </c>
      <c r="I35" s="24" t="str">
        <f t="shared" ref="I35:I62" si="3">IF(G35&lt;=F35,"Yes","No")</f>
        <v>No</v>
      </c>
      <c r="J35" s="51" t="str">
        <f>IF(I35="Yes",IF(J35="",Order!$B$3,J35),"")</f>
        <v/>
      </c>
    </row>
    <row r="36" spans="1:10" x14ac:dyDescent="0.35">
      <c r="A36" s="11" t="s">
        <v>68</v>
      </c>
      <c r="B36" s="11" t="s">
        <v>42</v>
      </c>
      <c r="C36" s="25" t="str">
        <f>VLOOKUP(B36,Products!$A$3:$F$22,2,0)</f>
        <v>Sticky Note Set</v>
      </c>
      <c r="D36" s="25" t="str">
        <f>VLOOKUP(B36,Products!$A$3:$F$22,6,0)</f>
        <v>PageMaster Supplies</v>
      </c>
      <c r="E36" s="26">
        <f>VLOOKUP(B36,Products!$A$3:$F$22,4,0)</f>
        <v>2.5</v>
      </c>
      <c r="F36" s="27">
        <f>VLOOKUP(B36,Products!$A$3:$F$22,5,0)</f>
        <v>35</v>
      </c>
      <c r="G36" s="28">
        <f>SUMIFS(Transactions!$E$3:$E$83,Transactions!$C$3:$C$83,B36,Transactions!$D$3:$D$83,A36)</f>
        <v>60</v>
      </c>
      <c r="H36" s="26">
        <f t="shared" si="2"/>
        <v>150</v>
      </c>
      <c r="I36" s="28" t="str">
        <f t="shared" si="3"/>
        <v>No</v>
      </c>
      <c r="J36" s="51" t="str">
        <f>IF(I36="Yes",IF(J36="",Order!$B$3,J36),"")</f>
        <v/>
      </c>
    </row>
    <row r="37" spans="1:10" x14ac:dyDescent="0.35">
      <c r="A37" s="8" t="s">
        <v>71</v>
      </c>
      <c r="B37" s="8" t="s">
        <v>42</v>
      </c>
      <c r="C37" s="21" t="str">
        <f>VLOOKUP(B37,Products!$A$3:$F$22,2,0)</f>
        <v>Sticky Note Set</v>
      </c>
      <c r="D37" s="21" t="str">
        <f>VLOOKUP(B37,Products!$A$3:$F$22,6,0)</f>
        <v>PageMaster Supplies</v>
      </c>
      <c r="E37" s="22">
        <f>VLOOKUP(B37,Products!$A$3:$F$22,4,0)</f>
        <v>2.5</v>
      </c>
      <c r="F37" s="23">
        <f>VLOOKUP(B37,Products!$A$3:$F$22,5,0)</f>
        <v>35</v>
      </c>
      <c r="G37" s="24">
        <f>SUMIFS(Transactions!$E$3:$E$83,Transactions!$C$3:$C$83,B37,Transactions!$D$3:$D$83,A37)</f>
        <v>45</v>
      </c>
      <c r="H37" s="22">
        <f t="shared" si="2"/>
        <v>112.5</v>
      </c>
      <c r="I37" s="24" t="str">
        <f t="shared" si="3"/>
        <v>No</v>
      </c>
      <c r="J37" s="51" t="str">
        <f>IF(I37="Yes",IF(J37="",Order!$B$3,J37),"")</f>
        <v/>
      </c>
    </row>
    <row r="38" spans="1:10" x14ac:dyDescent="0.35">
      <c r="A38" s="11" t="s">
        <v>73</v>
      </c>
      <c r="B38" s="11" t="s">
        <v>42</v>
      </c>
      <c r="C38" s="25" t="str">
        <f>VLOOKUP(B38,Products!$A$3:$F$22,2,0)</f>
        <v>Sticky Note Set</v>
      </c>
      <c r="D38" s="25" t="str">
        <f>VLOOKUP(B38,Products!$A$3:$F$22,6,0)</f>
        <v>PageMaster Supplies</v>
      </c>
      <c r="E38" s="26">
        <f>VLOOKUP(B38,Products!$A$3:$F$22,4,0)</f>
        <v>2.5</v>
      </c>
      <c r="F38" s="27">
        <f>VLOOKUP(B38,Products!$A$3:$F$22,5,0)</f>
        <v>35</v>
      </c>
      <c r="G38" s="28">
        <f>SUMIFS(Transactions!$E$3:$E$83,Transactions!$C$3:$C$83,B38,Transactions!$D$3:$D$83,A38)</f>
        <v>27</v>
      </c>
      <c r="H38" s="26">
        <f t="shared" si="2"/>
        <v>67.5</v>
      </c>
      <c r="I38" s="28" t="str">
        <f t="shared" si="3"/>
        <v>Yes</v>
      </c>
      <c r="J38" s="51">
        <f ca="1">IF(I38="Yes",IF(J38="",Order!$B$3,J38),"")</f>
        <v>45814</v>
      </c>
    </row>
    <row r="39" spans="1:10" x14ac:dyDescent="0.35">
      <c r="A39" s="8" t="s">
        <v>68</v>
      </c>
      <c r="B39" s="8" t="s">
        <v>44</v>
      </c>
      <c r="C39" s="21" t="str">
        <f>VLOOKUP(B39,Products!$A$3:$F$22,2,0)</f>
        <v>Reusable Straw Kit</v>
      </c>
      <c r="D39" s="21" t="str">
        <f>VLOOKUP(B39,Products!$A$3:$F$22,6,0)</f>
        <v>EcoRoot Imports</v>
      </c>
      <c r="E39" s="22">
        <f>VLOOKUP(B39,Products!$A$3:$F$22,4,0)</f>
        <v>4</v>
      </c>
      <c r="F39" s="23">
        <f>VLOOKUP(B39,Products!$A$3:$F$22,5,0)</f>
        <v>25</v>
      </c>
      <c r="G39" s="24">
        <f>SUMIFS(Transactions!$E$3:$E$83,Transactions!$C$3:$C$83,B39,Transactions!$D$3:$D$83,A39)</f>
        <v>28</v>
      </c>
      <c r="H39" s="22">
        <f t="shared" si="2"/>
        <v>112</v>
      </c>
      <c r="I39" s="24" t="str">
        <f t="shared" si="3"/>
        <v>No</v>
      </c>
      <c r="J39" s="51" t="str">
        <f>IF(I39="Yes",IF(J39="",Order!$B$3,J39),"")</f>
        <v/>
      </c>
    </row>
    <row r="40" spans="1:10" x14ac:dyDescent="0.35">
      <c r="A40" s="11" t="s">
        <v>71</v>
      </c>
      <c r="B40" s="11" t="s">
        <v>44</v>
      </c>
      <c r="C40" s="25" t="str">
        <f>VLOOKUP(B40,Products!$A$3:$F$22,2,0)</f>
        <v>Reusable Straw Kit</v>
      </c>
      <c r="D40" s="25" t="str">
        <f>VLOOKUP(B40,Products!$A$3:$F$22,6,0)</f>
        <v>EcoRoot Imports</v>
      </c>
      <c r="E40" s="26">
        <f>VLOOKUP(B40,Products!$A$3:$F$22,4,0)</f>
        <v>4</v>
      </c>
      <c r="F40" s="27">
        <f>VLOOKUP(B40,Products!$A$3:$F$22,5,0)</f>
        <v>25</v>
      </c>
      <c r="G40" s="28">
        <f>SUMIFS(Transactions!$E$3:$E$83,Transactions!$C$3:$C$83,B40,Transactions!$D$3:$D$83,A40)</f>
        <v>13</v>
      </c>
      <c r="H40" s="26">
        <f t="shared" si="2"/>
        <v>52</v>
      </c>
      <c r="I40" s="28" t="str">
        <f t="shared" si="3"/>
        <v>Yes</v>
      </c>
      <c r="J40" s="51">
        <f ca="1">IF(I40="Yes",IF(J40="",Order!$B$3,J40),"")</f>
        <v>45814</v>
      </c>
    </row>
    <row r="41" spans="1:10" x14ac:dyDescent="0.35">
      <c r="A41" s="8" t="s">
        <v>73</v>
      </c>
      <c r="B41" s="8" t="s">
        <v>44</v>
      </c>
      <c r="C41" s="21" t="str">
        <f>VLOOKUP(B41,Products!$A$3:$F$22,2,0)</f>
        <v>Reusable Straw Kit</v>
      </c>
      <c r="D41" s="21" t="str">
        <f>VLOOKUP(B41,Products!$A$3:$F$22,6,0)</f>
        <v>EcoRoot Imports</v>
      </c>
      <c r="E41" s="22">
        <f>VLOOKUP(B41,Products!$A$3:$F$22,4,0)</f>
        <v>4</v>
      </c>
      <c r="F41" s="23">
        <f>VLOOKUP(B41,Products!$A$3:$F$22,5,0)</f>
        <v>25</v>
      </c>
      <c r="G41" s="24">
        <f>SUMIFS(Transactions!$E$3:$E$83,Transactions!$C$3:$C$83,B41,Transactions!$D$3:$D$83,A41)</f>
        <v>10</v>
      </c>
      <c r="H41" s="22">
        <f t="shared" si="2"/>
        <v>40</v>
      </c>
      <c r="I41" s="24" t="s">
        <v>178</v>
      </c>
      <c r="J41" s="51" t="str">
        <f>IF(I41="Yes",IF(J41="",Order!$B$3,J41),"")</f>
        <v/>
      </c>
    </row>
    <row r="42" spans="1:10" x14ac:dyDescent="0.35">
      <c r="A42" s="11" t="s">
        <v>68</v>
      </c>
      <c r="B42" s="11" t="s">
        <v>46</v>
      </c>
      <c r="C42" s="25" t="str">
        <f>VLOOKUP(B42,Products!$A$3:$F$22,2,0)</f>
        <v>Desktop Cable Organiser</v>
      </c>
      <c r="D42" s="25" t="str">
        <f>VLOOKUP(B42,Products!$A$3:$F$22,6,0)</f>
        <v>TechLink Distributors</v>
      </c>
      <c r="E42" s="26">
        <f>VLOOKUP(B42,Products!$A$3:$F$22,4,0)</f>
        <v>7</v>
      </c>
      <c r="F42" s="27">
        <f>VLOOKUP(B42,Products!$A$3:$F$22,5,0)</f>
        <v>12</v>
      </c>
      <c r="G42" s="28">
        <f>SUMIFS(Transactions!$E$3:$E$83,Transactions!$C$3:$C$83,B42,Transactions!$D$3:$D$83,A42)</f>
        <v>14</v>
      </c>
      <c r="H42" s="26">
        <f t="shared" si="2"/>
        <v>98</v>
      </c>
      <c r="I42" s="28" t="str">
        <f t="shared" si="3"/>
        <v>No</v>
      </c>
      <c r="J42" s="51" t="str">
        <f>IF(I42="Yes",IF(J42="",Order!$B$3,J42),"")</f>
        <v/>
      </c>
    </row>
    <row r="43" spans="1:10" x14ac:dyDescent="0.35">
      <c r="A43" s="8" t="s">
        <v>71</v>
      </c>
      <c r="B43" s="8" t="s">
        <v>46</v>
      </c>
      <c r="C43" s="21" t="str">
        <f>VLOOKUP(B43,Products!$A$3:$F$22,2,0)</f>
        <v>Desktop Cable Organiser</v>
      </c>
      <c r="D43" s="21" t="str">
        <f>VLOOKUP(B43,Products!$A$3:$F$22,6,0)</f>
        <v>TechLink Distributors</v>
      </c>
      <c r="E43" s="22">
        <f>VLOOKUP(B43,Products!$A$3:$F$22,4,0)</f>
        <v>7</v>
      </c>
      <c r="F43" s="23">
        <f>VLOOKUP(B43,Products!$A$3:$F$22,5,0)</f>
        <v>12</v>
      </c>
      <c r="G43" s="24">
        <f>SUMIFS(Transactions!$E$3:$E$83,Transactions!$C$3:$C$83,B43,Transactions!$D$3:$D$83,A43)</f>
        <v>25</v>
      </c>
      <c r="H43" s="22">
        <f t="shared" si="2"/>
        <v>175</v>
      </c>
      <c r="I43" s="24" t="str">
        <f t="shared" si="3"/>
        <v>No</v>
      </c>
      <c r="J43" s="51" t="str">
        <f>IF(I43="Yes",IF(J43="",Order!$B$3,J43),"")</f>
        <v/>
      </c>
    </row>
    <row r="44" spans="1:10" x14ac:dyDescent="0.35">
      <c r="A44" s="11" t="s">
        <v>73</v>
      </c>
      <c r="B44" s="11" t="s">
        <v>46</v>
      </c>
      <c r="C44" s="25" t="str">
        <f>VLOOKUP(B44,Products!$A$3:$F$22,2,0)</f>
        <v>Desktop Cable Organiser</v>
      </c>
      <c r="D44" s="25" t="str">
        <f>VLOOKUP(B44,Products!$A$3:$F$22,6,0)</f>
        <v>TechLink Distributors</v>
      </c>
      <c r="E44" s="26">
        <f>VLOOKUP(B44,Products!$A$3:$F$22,4,0)</f>
        <v>7</v>
      </c>
      <c r="F44" s="27">
        <f>VLOOKUP(B44,Products!$A$3:$F$22,5,0)</f>
        <v>12</v>
      </c>
      <c r="G44" s="28">
        <f>SUMIFS(Transactions!$E$3:$E$83,Transactions!$C$3:$C$83,B44,Transactions!$D$3:$D$83,A44)</f>
        <v>8</v>
      </c>
      <c r="H44" s="26">
        <f t="shared" si="2"/>
        <v>56</v>
      </c>
      <c r="I44" s="28" t="str">
        <f t="shared" si="3"/>
        <v>Yes</v>
      </c>
      <c r="J44" s="51">
        <f ca="1">IF(I44="Yes",IF(J44="",Order!$B$3,J44),"")</f>
        <v>45814</v>
      </c>
    </row>
    <row r="45" spans="1:10" x14ac:dyDescent="0.35">
      <c r="A45" s="8" t="s">
        <v>68</v>
      </c>
      <c r="B45" s="8" t="s">
        <v>48</v>
      </c>
      <c r="C45" s="21" t="str">
        <f>VLOOKUP(B45,Products!$A$3:$F$22,2,0)</f>
        <v>Scented Hand Cream</v>
      </c>
      <c r="D45" s="21" t="str">
        <f>VLOOKUP(B45,Products!$A$3:$F$22,6,0)</f>
        <v>PureGlow Imports</v>
      </c>
      <c r="E45" s="22">
        <f>VLOOKUP(B45,Products!$A$3:$F$22,4,0)</f>
        <v>8.5</v>
      </c>
      <c r="F45" s="23">
        <f>VLOOKUP(B45,Products!$A$3:$F$22,5,0)</f>
        <v>20</v>
      </c>
      <c r="G45" s="24">
        <f>SUMIFS(Transactions!$E$3:$E$83,Transactions!$C$3:$C$83,B45,Transactions!$D$3:$D$83,A45)</f>
        <v>18</v>
      </c>
      <c r="H45" s="22">
        <f t="shared" si="2"/>
        <v>153</v>
      </c>
      <c r="I45" s="24" t="str">
        <f t="shared" si="3"/>
        <v>Yes</v>
      </c>
      <c r="J45" s="51">
        <f ca="1">IF(I45="Yes",IF(J45="",Order!$B$3,J45),"")</f>
        <v>45814</v>
      </c>
    </row>
    <row r="46" spans="1:10" x14ac:dyDescent="0.35">
      <c r="A46" s="11" t="s">
        <v>71</v>
      </c>
      <c r="B46" s="11" t="s">
        <v>48</v>
      </c>
      <c r="C46" s="25" t="str">
        <f>VLOOKUP(B46,Products!$A$3:$F$22,2,0)</f>
        <v>Scented Hand Cream</v>
      </c>
      <c r="D46" s="25" t="str">
        <f>VLOOKUP(B46,Products!$A$3:$F$22,6,0)</f>
        <v>PureGlow Imports</v>
      </c>
      <c r="E46" s="26">
        <f>VLOOKUP(B46,Products!$A$3:$F$22,4,0)</f>
        <v>8.5</v>
      </c>
      <c r="F46" s="27">
        <f>VLOOKUP(B46,Products!$A$3:$F$22,5,0)</f>
        <v>20</v>
      </c>
      <c r="G46" s="28">
        <f>SUMIFS(Transactions!$E$3:$E$83,Transactions!$C$3:$C$83,B46,Transactions!$D$3:$D$83,A46)</f>
        <v>18</v>
      </c>
      <c r="H46" s="26">
        <f t="shared" si="2"/>
        <v>153</v>
      </c>
      <c r="I46" s="28" t="str">
        <f t="shared" si="3"/>
        <v>Yes</v>
      </c>
      <c r="J46" s="51">
        <f ca="1">IF(I46="Yes",IF(J46="",Order!$B$3,J46),"")</f>
        <v>45814</v>
      </c>
    </row>
    <row r="47" spans="1:10" x14ac:dyDescent="0.35">
      <c r="A47" s="8" t="s">
        <v>73</v>
      </c>
      <c r="B47" s="8" t="s">
        <v>48</v>
      </c>
      <c r="C47" s="21" t="str">
        <f>VLOOKUP(B47,Products!$A$3:$F$22,2,0)</f>
        <v>Scented Hand Cream</v>
      </c>
      <c r="D47" s="21" t="str">
        <f>VLOOKUP(B47,Products!$A$3:$F$22,6,0)</f>
        <v>PureGlow Imports</v>
      </c>
      <c r="E47" s="22">
        <f>VLOOKUP(B47,Products!$A$3:$F$22,4,0)</f>
        <v>8.5</v>
      </c>
      <c r="F47" s="23">
        <f>VLOOKUP(B47,Products!$A$3:$F$22,5,0)</f>
        <v>20</v>
      </c>
      <c r="G47" s="24">
        <f>SUMIFS(Transactions!$E$3:$E$83,Transactions!$C$3:$C$83,B47,Transactions!$D$3:$D$83,A47)</f>
        <v>16</v>
      </c>
      <c r="H47" s="22">
        <f t="shared" si="2"/>
        <v>136</v>
      </c>
      <c r="I47" s="24" t="str">
        <f t="shared" si="3"/>
        <v>Yes</v>
      </c>
      <c r="J47" s="51">
        <f ca="1">IF(I47="Yes",IF(J47="",Order!$B$3,J47),"")</f>
        <v>45814</v>
      </c>
    </row>
    <row r="48" spans="1:10" x14ac:dyDescent="0.35">
      <c r="A48" s="11" t="s">
        <v>68</v>
      </c>
      <c r="B48" s="11" t="s">
        <v>50</v>
      </c>
      <c r="C48" s="25" t="str">
        <f>VLOOKUP(B48,Products!$A$3:$F$22,2,0)</f>
        <v>Insulated Lunch Bag</v>
      </c>
      <c r="D48" s="25" t="str">
        <f>VLOOKUP(B48,Products!$A$3:$F$22,6,0)</f>
        <v>NovaBrew Supplies</v>
      </c>
      <c r="E48" s="26">
        <f>VLOOKUP(B48,Products!$A$3:$F$22,4,0)</f>
        <v>13</v>
      </c>
      <c r="F48" s="27">
        <f>VLOOKUP(B48,Products!$A$3:$F$22,5,0)</f>
        <v>15</v>
      </c>
      <c r="G48" s="28">
        <f>SUMIFS(Transactions!$E$3:$E$83,Transactions!$C$3:$C$83,B48,Transactions!$D$3:$D$83,A48)</f>
        <v>14</v>
      </c>
      <c r="H48" s="26">
        <f t="shared" si="2"/>
        <v>182</v>
      </c>
      <c r="I48" s="28" t="str">
        <f t="shared" si="3"/>
        <v>Yes</v>
      </c>
      <c r="J48" s="51">
        <f ca="1">IF(I48="Yes",IF(J48="",Order!$B$3,J48),"")</f>
        <v>45814</v>
      </c>
    </row>
    <row r="49" spans="1:10" x14ac:dyDescent="0.35">
      <c r="A49" s="8" t="s">
        <v>71</v>
      </c>
      <c r="B49" s="8" t="s">
        <v>50</v>
      </c>
      <c r="C49" s="21" t="str">
        <f>VLOOKUP(B49,Products!$A$3:$F$22,2,0)</f>
        <v>Insulated Lunch Bag</v>
      </c>
      <c r="D49" s="21" t="str">
        <f>VLOOKUP(B49,Products!$A$3:$F$22,6,0)</f>
        <v>NovaBrew Supplies</v>
      </c>
      <c r="E49" s="22">
        <f>VLOOKUP(B49,Products!$A$3:$F$22,4,0)</f>
        <v>13</v>
      </c>
      <c r="F49" s="23">
        <f>VLOOKUP(B49,Products!$A$3:$F$22,5,0)</f>
        <v>15</v>
      </c>
      <c r="G49" s="24">
        <f>SUMIFS(Transactions!$E$3:$E$83,Transactions!$C$3:$C$83,B49,Transactions!$D$3:$D$83,A49)</f>
        <v>14</v>
      </c>
      <c r="H49" s="22">
        <f t="shared" si="2"/>
        <v>182</v>
      </c>
      <c r="I49" s="24" t="str">
        <f t="shared" si="3"/>
        <v>Yes</v>
      </c>
      <c r="J49" s="51">
        <f ca="1">IF(I49="Yes",IF(J49="",Order!$B$3,J49),"")</f>
        <v>45814</v>
      </c>
    </row>
    <row r="50" spans="1:10" x14ac:dyDescent="0.35">
      <c r="A50" s="11" t="s">
        <v>73</v>
      </c>
      <c r="B50" s="11" t="s">
        <v>50</v>
      </c>
      <c r="C50" s="25" t="str">
        <f>VLOOKUP(B50,Products!$A$3:$F$22,2,0)</f>
        <v>Insulated Lunch Bag</v>
      </c>
      <c r="D50" s="25" t="str">
        <f>VLOOKUP(B50,Products!$A$3:$F$22,6,0)</f>
        <v>NovaBrew Supplies</v>
      </c>
      <c r="E50" s="26">
        <f>VLOOKUP(B50,Products!$A$3:$F$22,4,0)</f>
        <v>13</v>
      </c>
      <c r="F50" s="27">
        <f>VLOOKUP(B50,Products!$A$3:$F$22,5,0)</f>
        <v>15</v>
      </c>
      <c r="G50" s="28">
        <f>SUMIFS(Transactions!$E$3:$E$83,Transactions!$C$3:$C$83,B50,Transactions!$D$3:$D$83,A50)</f>
        <v>13</v>
      </c>
      <c r="H50" s="26">
        <f t="shared" si="2"/>
        <v>169</v>
      </c>
      <c r="I50" s="28" t="str">
        <f t="shared" si="3"/>
        <v>Yes</v>
      </c>
      <c r="J50" s="51">
        <f ca="1">IF(I50="Yes",IF(J50="",Order!$B$3,J50),"")</f>
        <v>45814</v>
      </c>
    </row>
    <row r="51" spans="1:10" x14ac:dyDescent="0.35">
      <c r="A51" s="8" t="s">
        <v>68</v>
      </c>
      <c r="B51" s="8" t="s">
        <v>52</v>
      </c>
      <c r="C51" s="21" t="str">
        <f>VLOOKUP(B51,Products!$A$3:$F$22,2,0)</f>
        <v>Motivational Poster Set</v>
      </c>
      <c r="D51" s="21" t="str">
        <f>VLOOKUP(B51,Products!$A$3:$F$22,6,0)</f>
        <v>PageMaster Supplies</v>
      </c>
      <c r="E51" s="22">
        <f>VLOOKUP(B51,Products!$A$3:$F$22,4,0)</f>
        <v>6</v>
      </c>
      <c r="F51" s="23">
        <f>VLOOKUP(B51,Products!$A$3:$F$22,5,0)</f>
        <v>10</v>
      </c>
      <c r="G51" s="24">
        <f>SUMIFS(Transactions!$E$3:$E$83,Transactions!$C$3:$C$83,B51,Transactions!$D$3:$D$83,A51)</f>
        <v>12</v>
      </c>
      <c r="H51" s="22">
        <f t="shared" si="2"/>
        <v>72</v>
      </c>
      <c r="I51" s="24" t="str">
        <f t="shared" si="3"/>
        <v>No</v>
      </c>
      <c r="J51" s="51" t="str">
        <f>IF(I51="Yes",IF(J51="",Order!$B$3,J51),"")</f>
        <v/>
      </c>
    </row>
    <row r="52" spans="1:10" x14ac:dyDescent="0.35">
      <c r="A52" s="11" t="s">
        <v>71</v>
      </c>
      <c r="B52" s="11" t="s">
        <v>52</v>
      </c>
      <c r="C52" s="25" t="str">
        <f>VLOOKUP(B52,Products!$A$3:$F$22,2,0)</f>
        <v>Motivational Poster Set</v>
      </c>
      <c r="D52" s="25" t="str">
        <f>VLOOKUP(B52,Products!$A$3:$F$22,6,0)</f>
        <v>PageMaster Supplies</v>
      </c>
      <c r="E52" s="26">
        <f>VLOOKUP(B52,Products!$A$3:$F$22,4,0)</f>
        <v>6</v>
      </c>
      <c r="F52" s="27">
        <f>VLOOKUP(B52,Products!$A$3:$F$22,5,0)</f>
        <v>10</v>
      </c>
      <c r="G52" s="28">
        <f>SUMIFS(Transactions!$E$3:$E$83,Transactions!$C$3:$C$83,B52,Transactions!$D$3:$D$83,A52)</f>
        <v>3</v>
      </c>
      <c r="H52" s="26">
        <f t="shared" si="2"/>
        <v>18</v>
      </c>
      <c r="I52" s="28" t="str">
        <f t="shared" si="3"/>
        <v>Yes</v>
      </c>
      <c r="J52" s="51">
        <f ca="1">IF(I52="Yes",IF(J52="",Order!$B$3,J52),"")</f>
        <v>45814</v>
      </c>
    </row>
    <row r="53" spans="1:10" x14ac:dyDescent="0.35">
      <c r="A53" s="8" t="s">
        <v>73</v>
      </c>
      <c r="B53" s="8" t="s">
        <v>52</v>
      </c>
      <c r="C53" s="21" t="str">
        <f>VLOOKUP(B53,Products!$A$3:$F$22,2,0)</f>
        <v>Motivational Poster Set</v>
      </c>
      <c r="D53" s="21" t="str">
        <f>VLOOKUP(B53,Products!$A$3:$F$22,6,0)</f>
        <v>PageMaster Supplies</v>
      </c>
      <c r="E53" s="22">
        <f>VLOOKUP(B53,Products!$A$3:$F$22,4,0)</f>
        <v>6</v>
      </c>
      <c r="F53" s="23">
        <f>VLOOKUP(B53,Products!$A$3:$F$22,5,0)</f>
        <v>10</v>
      </c>
      <c r="G53" s="24">
        <f>SUMIFS(Transactions!$E$3:$E$83,Transactions!$C$3:$C$83,B53,Transactions!$D$3:$D$83,A53)</f>
        <v>6</v>
      </c>
      <c r="H53" s="22">
        <f t="shared" si="2"/>
        <v>36</v>
      </c>
      <c r="I53" s="24" t="str">
        <f t="shared" si="3"/>
        <v>Yes</v>
      </c>
      <c r="J53" s="51">
        <f ca="1">IF(I53="Yes",IF(J53="",Order!$B$3,J53),"")</f>
        <v>45814</v>
      </c>
    </row>
    <row r="54" spans="1:10" x14ac:dyDescent="0.35">
      <c r="A54" s="11" t="s">
        <v>68</v>
      </c>
      <c r="B54" s="11" t="s">
        <v>54</v>
      </c>
      <c r="C54" s="25" t="str">
        <f>VLOOKUP(B54,Products!$A$3:$F$22,2,0)</f>
        <v>Trail Mix Jar</v>
      </c>
      <c r="D54" s="25" t="str">
        <f>VLOOKUP(B54,Products!$A$3:$F$22,6,0)</f>
        <v>NutriPeak Foods</v>
      </c>
      <c r="E54" s="26">
        <f>VLOOKUP(B54,Products!$A$3:$F$22,4,0)</f>
        <v>5.5</v>
      </c>
      <c r="F54" s="27">
        <f>VLOOKUP(B54,Products!$A$3:$F$22,5,0)</f>
        <v>30</v>
      </c>
      <c r="G54" s="28">
        <f>SUMIFS(Transactions!$E$3:$E$83,Transactions!$C$3:$C$83,B54,Transactions!$D$3:$D$83,A54)</f>
        <v>53</v>
      </c>
      <c r="H54" s="26">
        <f t="shared" si="2"/>
        <v>291.5</v>
      </c>
      <c r="I54" s="28" t="str">
        <f t="shared" si="3"/>
        <v>No</v>
      </c>
      <c r="J54" s="51" t="str">
        <f>IF(I54="Yes",IF(J54="",Order!$B$3,J54),"")</f>
        <v/>
      </c>
    </row>
    <row r="55" spans="1:10" x14ac:dyDescent="0.35">
      <c r="A55" s="8" t="s">
        <v>71</v>
      </c>
      <c r="B55" s="8" t="s">
        <v>54</v>
      </c>
      <c r="C55" s="21" t="str">
        <f>VLOOKUP(B55,Products!$A$3:$F$22,2,0)</f>
        <v>Trail Mix Jar</v>
      </c>
      <c r="D55" s="21" t="str">
        <f>VLOOKUP(B55,Products!$A$3:$F$22,6,0)</f>
        <v>NutriPeak Foods</v>
      </c>
      <c r="E55" s="22">
        <f>VLOOKUP(B55,Products!$A$3:$F$22,4,0)</f>
        <v>5.5</v>
      </c>
      <c r="F55" s="23">
        <f>VLOOKUP(B55,Products!$A$3:$F$22,5,0)</f>
        <v>30</v>
      </c>
      <c r="G55" s="24">
        <f>SUMIFS(Transactions!$E$3:$E$83,Transactions!$C$3:$C$83,B55,Transactions!$D$3:$D$83,A55)</f>
        <v>28</v>
      </c>
      <c r="H55" s="22">
        <f t="shared" si="2"/>
        <v>154</v>
      </c>
      <c r="I55" s="24" t="str">
        <f t="shared" si="3"/>
        <v>Yes</v>
      </c>
      <c r="J55" s="51">
        <f ca="1">IF(I55="Yes",IF(J55="",Order!$B$3,J55),"")</f>
        <v>45814</v>
      </c>
    </row>
    <row r="56" spans="1:10" x14ac:dyDescent="0.35">
      <c r="A56" s="11" t="s">
        <v>73</v>
      </c>
      <c r="B56" s="11" t="s">
        <v>54</v>
      </c>
      <c r="C56" s="25" t="str">
        <f>VLOOKUP(B56,Products!$A$3:$F$22,2,0)</f>
        <v>Trail Mix Jar</v>
      </c>
      <c r="D56" s="25" t="str">
        <f>VLOOKUP(B56,Products!$A$3:$F$22,6,0)</f>
        <v>NutriPeak Foods</v>
      </c>
      <c r="E56" s="26">
        <f>VLOOKUP(B56,Products!$A$3:$F$22,4,0)</f>
        <v>5.5</v>
      </c>
      <c r="F56" s="27">
        <f>VLOOKUP(B56,Products!$A$3:$F$22,5,0)</f>
        <v>30</v>
      </c>
      <c r="G56" s="28">
        <f>SUMIFS(Transactions!$E$3:$E$83,Transactions!$C$3:$C$83,B56,Transactions!$D$3:$D$83,A56)</f>
        <v>22</v>
      </c>
      <c r="H56" s="26">
        <f t="shared" si="2"/>
        <v>121</v>
      </c>
      <c r="I56" s="28" t="str">
        <f t="shared" si="3"/>
        <v>Yes</v>
      </c>
      <c r="J56" s="51">
        <f ca="1">IF(I56="Yes",IF(J56="",Order!$B$3,J56),"")</f>
        <v>45814</v>
      </c>
    </row>
    <row r="57" spans="1:10" x14ac:dyDescent="0.35">
      <c r="A57" s="8" t="s">
        <v>68</v>
      </c>
      <c r="B57" s="8" t="s">
        <v>56</v>
      </c>
      <c r="C57" s="21" t="str">
        <f>VLOOKUP(B57,Products!$A$3:$F$22,2,0)</f>
        <v>Magnetic Phone Mount</v>
      </c>
      <c r="D57" s="21" t="str">
        <f>VLOOKUP(B57,Products!$A$3:$F$22,6,0)</f>
        <v>TechLink Distributors</v>
      </c>
      <c r="E57" s="22">
        <f>VLOOKUP(B57,Products!$A$3:$F$22,4,0)</f>
        <v>9.5</v>
      </c>
      <c r="F57" s="23">
        <f>VLOOKUP(B57,Products!$A$3:$F$22,5,0)</f>
        <v>12</v>
      </c>
      <c r="G57" s="24">
        <f>SUMIFS(Transactions!$E$3:$E$83,Transactions!$C$3:$C$83,B57,Transactions!$D$3:$D$83,A57)</f>
        <v>14</v>
      </c>
      <c r="H57" s="22">
        <f t="shared" si="2"/>
        <v>133</v>
      </c>
      <c r="I57" s="24" t="str">
        <f t="shared" si="3"/>
        <v>No</v>
      </c>
      <c r="J57" s="51" t="str">
        <f>IF(I57="Yes",IF(J57="",Order!$B$3,J57),"")</f>
        <v/>
      </c>
    </row>
    <row r="58" spans="1:10" x14ac:dyDescent="0.35">
      <c r="A58" s="11" t="s">
        <v>71</v>
      </c>
      <c r="B58" s="11" t="s">
        <v>56</v>
      </c>
      <c r="C58" s="25" t="str">
        <f>VLOOKUP(B58,Products!$A$3:$F$22,2,0)</f>
        <v>Magnetic Phone Mount</v>
      </c>
      <c r="D58" s="25" t="str">
        <f>VLOOKUP(B58,Products!$A$3:$F$22,6,0)</f>
        <v>TechLink Distributors</v>
      </c>
      <c r="E58" s="26">
        <f>VLOOKUP(B58,Products!$A$3:$F$22,4,0)</f>
        <v>9.5</v>
      </c>
      <c r="F58" s="27">
        <f>VLOOKUP(B58,Products!$A$3:$F$22,5,0)</f>
        <v>12</v>
      </c>
      <c r="G58" s="28">
        <f>SUMIFS(Transactions!$E$3:$E$83,Transactions!$C$3:$C$83,B58,Transactions!$D$3:$D$83,A58)</f>
        <v>10</v>
      </c>
      <c r="H58" s="26">
        <f t="shared" si="2"/>
        <v>95</v>
      </c>
      <c r="I58" s="28" t="str">
        <f t="shared" si="3"/>
        <v>Yes</v>
      </c>
      <c r="J58" s="51">
        <f ca="1">IF(I58="Yes",IF(J58="",Order!$B$3,J58),"")</f>
        <v>45814</v>
      </c>
    </row>
    <row r="59" spans="1:10" x14ac:dyDescent="0.35">
      <c r="A59" s="8" t="s">
        <v>73</v>
      </c>
      <c r="B59" s="8" t="s">
        <v>56</v>
      </c>
      <c r="C59" s="21" t="str">
        <f>VLOOKUP(B59,Products!$A$3:$F$22,2,0)</f>
        <v>Magnetic Phone Mount</v>
      </c>
      <c r="D59" s="21" t="str">
        <f>VLOOKUP(B59,Products!$A$3:$F$22,6,0)</f>
        <v>TechLink Distributors</v>
      </c>
      <c r="E59" s="22">
        <f>VLOOKUP(B59,Products!$A$3:$F$22,4,0)</f>
        <v>9.5</v>
      </c>
      <c r="F59" s="23">
        <f>VLOOKUP(B59,Products!$A$3:$F$22,5,0)</f>
        <v>12</v>
      </c>
      <c r="G59" s="24">
        <f>SUMIFS(Transactions!$E$3:$E$83,Transactions!$C$3:$C$83,B59,Transactions!$D$3:$D$83,A59)</f>
        <v>3</v>
      </c>
      <c r="H59" s="22">
        <f t="shared" si="2"/>
        <v>28.5</v>
      </c>
      <c r="I59" s="24" t="str">
        <f t="shared" si="3"/>
        <v>Yes</v>
      </c>
      <c r="J59" s="51">
        <f ca="1">IF(I59="Yes",IF(J59="",Order!$B$3,J59),"")</f>
        <v>45814</v>
      </c>
    </row>
    <row r="60" spans="1:10" x14ac:dyDescent="0.35">
      <c r="A60" s="11" t="s">
        <v>68</v>
      </c>
      <c r="B60" s="11" t="s">
        <v>58</v>
      </c>
      <c r="C60" s="25" t="str">
        <f>VLOOKUP(B60,Products!$A$3:$F$22,2,0)</f>
        <v>Yoga Resistance Band</v>
      </c>
      <c r="D60" s="25" t="str">
        <f>VLOOKUP(B60,Products!$A$3:$F$22,6,0)</f>
        <v>ActiveCore Wholesale</v>
      </c>
      <c r="E60" s="26">
        <f>VLOOKUP(B60,Products!$A$3:$F$22,4,0)</f>
        <v>12</v>
      </c>
      <c r="F60" s="27">
        <f>VLOOKUP(B60,Products!$A$3:$F$22,5,0)</f>
        <v>15</v>
      </c>
      <c r="G60" s="28">
        <f>SUMIFS(Transactions!$E$3:$E$83,Transactions!$C$3:$C$83,B60,Transactions!$D$3:$D$83,A60)</f>
        <v>18</v>
      </c>
      <c r="H60" s="26">
        <f t="shared" si="2"/>
        <v>216</v>
      </c>
      <c r="I60" s="28" t="str">
        <f t="shared" si="3"/>
        <v>No</v>
      </c>
      <c r="J60" s="51" t="str">
        <f>IF(I60="Yes",IF(J60="",Order!$B$3,J60),"")</f>
        <v/>
      </c>
    </row>
    <row r="61" spans="1:10" x14ac:dyDescent="0.35">
      <c r="A61" s="8" t="s">
        <v>71</v>
      </c>
      <c r="B61" s="8" t="s">
        <v>58</v>
      </c>
      <c r="C61" s="21" t="str">
        <f>VLOOKUP(B61,Products!$A$3:$F$22,2,0)</f>
        <v>Yoga Resistance Band</v>
      </c>
      <c r="D61" s="21" t="str">
        <f>VLOOKUP(B61,Products!$A$3:$F$22,6,0)</f>
        <v>ActiveCore Wholesale</v>
      </c>
      <c r="E61" s="22">
        <f>VLOOKUP(B61,Products!$A$3:$F$22,4,0)</f>
        <v>12</v>
      </c>
      <c r="F61" s="23">
        <f>VLOOKUP(B61,Products!$A$3:$F$22,5,0)</f>
        <v>15</v>
      </c>
      <c r="G61" s="24">
        <f>SUMIFS(Transactions!$E$3:$E$83,Transactions!$C$3:$C$83,B61,Transactions!$D$3:$D$83,A61)</f>
        <v>14</v>
      </c>
      <c r="H61" s="22">
        <f t="shared" si="2"/>
        <v>168</v>
      </c>
      <c r="I61" s="24" t="str">
        <f t="shared" si="3"/>
        <v>Yes</v>
      </c>
      <c r="J61" s="51">
        <f ca="1">IF(I61="Yes",IF(J61="",Order!$B$3,J61),"")</f>
        <v>45814</v>
      </c>
    </row>
    <row r="62" spans="1:10" x14ac:dyDescent="0.35">
      <c r="A62" s="11" t="s">
        <v>73</v>
      </c>
      <c r="B62" s="11" t="s">
        <v>58</v>
      </c>
      <c r="C62" s="25" t="str">
        <f>VLOOKUP(B62,Products!$A$3:$F$22,2,0)</f>
        <v>Yoga Resistance Band</v>
      </c>
      <c r="D62" s="25" t="str">
        <f>VLOOKUP(B62,Products!$A$3:$F$22,6,0)</f>
        <v>ActiveCore Wholesale</v>
      </c>
      <c r="E62" s="26">
        <f>VLOOKUP(B62,Products!$A$3:$F$22,4,0)</f>
        <v>12</v>
      </c>
      <c r="F62" s="27">
        <f>VLOOKUP(B62,Products!$A$3:$F$22,5,0)</f>
        <v>15</v>
      </c>
      <c r="G62" s="28">
        <f>SUMIFS(Transactions!$E$3:$E$83,Transactions!$C$3:$C$83,B62,Transactions!$D$3:$D$83,A62)</f>
        <v>6</v>
      </c>
      <c r="H62" s="26">
        <f t="shared" si="2"/>
        <v>72</v>
      </c>
      <c r="I62" s="28" t="str">
        <f t="shared" si="3"/>
        <v>Yes</v>
      </c>
      <c r="J62" s="51">
        <f ca="1">IF(I62="Yes",IF(J62="",Order!$B$3,J62),"")</f>
        <v>45814</v>
      </c>
    </row>
  </sheetData>
  <mergeCells count="1">
    <mergeCell ref="A1:C1"/>
  </mergeCells>
  <dataValidations count="1">
    <dataValidation type="list" allowBlank="1" showInputMessage="1" showErrorMessage="1" sqref="I3:I62" xr:uid="{F1CD83F0-8331-4743-AA6F-AE3BD8C50AF0}">
      <formula1>"Yes, No"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Reports</vt:lpstr>
      <vt:lpstr>Order</vt:lpstr>
      <vt:lpstr>Products</vt:lpstr>
      <vt:lpstr>Transactions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Moshiul Nishan</cp:lastModifiedBy>
  <cp:revision>0</cp:revision>
  <dcterms:created xsi:type="dcterms:W3CDTF">2026-06-06T15:48:36Z</dcterms:created>
  <dcterms:modified xsi:type="dcterms:W3CDTF">2026-06-06T17:23:31Z</dcterms:modified>
  <dc:language>en-US</dc:language>
</cp:coreProperties>
</file>